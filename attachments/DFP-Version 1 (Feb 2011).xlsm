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15" windowWidth="12240" windowHeight="6690"/>
  </bookViews>
  <sheets>
    <sheet name="Overview" sheetId="4" r:id="rId1"/>
    <sheet name="DFP" sheetId="1" r:id="rId2"/>
    <sheet name="Equipment Cost Data" sheetId="3" r:id="rId3"/>
  </sheets>
  <definedNames>
    <definedName name="CEPCI">DFP!$B$2</definedName>
    <definedName name="TotalInstalledCost">DFP!$B$55</definedName>
    <definedName name="UserAdded">DFP!#REF!</definedName>
    <definedName name="UserAddedAgitatorsMixers">DFP!$B$11</definedName>
    <definedName name="UserAddedBoilers">DFP!$B$15</definedName>
    <definedName name="UserAddedCompressors">DFP!$B$19</definedName>
    <definedName name="UserAddedDryers">DFP!$B$23</definedName>
    <definedName name="UserAddedEvaporators">DFP!$B$27</definedName>
    <definedName name="UserAddedExchangers">DFP!$B$31</definedName>
    <definedName name="UserAddedFurnaces">DFP!$B$35</definedName>
    <definedName name="UserAddedPumpsDrivers">DFP!$B$39</definedName>
    <definedName name="UserAddedReactors">DFP!#REF!</definedName>
    <definedName name="UserAddedTanks">DFP!$B$43</definedName>
    <definedName name="UserAddedTowers">DFP!$B$47</definedName>
    <definedName name="UserAddedUserAddedEquipment">DFP!$B$51</definedName>
    <definedName name="UserAddedUserAddedEquipments">DFP!$B$51</definedName>
    <definedName name="xx">DFP!#REF!</definedName>
  </definedNames>
  <calcPr calcId="125725"/>
</workbook>
</file>

<file path=xl/calcChain.xml><?xml version="1.0" encoding="utf-8"?>
<calcChain xmlns="http://schemas.openxmlformats.org/spreadsheetml/2006/main">
  <c r="L48" i="1"/>
  <c r="E48"/>
  <c r="M41"/>
  <c r="J41"/>
  <c r="K33"/>
  <c r="I33"/>
  <c r="K37"/>
  <c r="I37"/>
  <c r="K29"/>
  <c r="I29"/>
  <c r="K13"/>
  <c r="I13"/>
  <c r="K45"/>
  <c r="I45"/>
  <c r="K21"/>
  <c r="I21"/>
  <c r="K25"/>
  <c r="I25"/>
  <c r="K17"/>
  <c r="I17"/>
  <c r="E49" l="1"/>
  <c r="N49"/>
  <c r="B56" s="1"/>
  <c r="B58" s="1"/>
</calcChain>
</file>

<file path=xl/sharedStrings.xml><?xml version="1.0" encoding="utf-8"?>
<sst xmlns="http://schemas.openxmlformats.org/spreadsheetml/2006/main" count="303" uniqueCount="186">
  <si>
    <t>Equipment</t>
    <phoneticPr fontId="1" type="noConversion"/>
  </si>
  <si>
    <t>Units for size, S</t>
    <phoneticPr fontId="1" type="noConversion"/>
  </si>
  <si>
    <t>a</t>
    <phoneticPr fontId="1" type="noConversion"/>
  </si>
  <si>
    <t>b</t>
    <phoneticPr fontId="1" type="noConversion"/>
  </si>
  <si>
    <t>n</t>
    <phoneticPr fontId="1" type="noConversion"/>
  </si>
  <si>
    <t>Note</t>
    <phoneticPr fontId="1" type="noConversion"/>
  </si>
  <si>
    <r>
      <t>S</t>
    </r>
    <r>
      <rPr>
        <b/>
        <vertAlign val="subscript"/>
        <sz val="11"/>
        <color indexed="8"/>
        <rFont val="Tahoma"/>
        <family val="2"/>
      </rPr>
      <t>lower</t>
    </r>
    <phoneticPr fontId="1" type="noConversion"/>
  </si>
  <si>
    <r>
      <t>S</t>
    </r>
    <r>
      <rPr>
        <b/>
        <vertAlign val="subscript"/>
        <sz val="11"/>
        <color indexed="8"/>
        <rFont val="Tahoma"/>
        <family val="2"/>
      </rPr>
      <t>upper</t>
    </r>
    <phoneticPr fontId="1" type="noConversion"/>
  </si>
  <si>
    <t>Propeller</t>
    <phoneticPr fontId="1" type="noConversion"/>
  </si>
  <si>
    <t>Spiral ribbon mixer</t>
    <phoneticPr fontId="1" type="noConversion"/>
  </si>
  <si>
    <t>Static mixer</t>
    <phoneticPr fontId="1" type="noConversion"/>
  </si>
  <si>
    <t>driver power, kW</t>
    <phoneticPr fontId="1" type="noConversion"/>
  </si>
  <si>
    <t>Packaged, 15 to 40 bar</t>
    <phoneticPr fontId="1" type="noConversion"/>
  </si>
  <si>
    <t>Field erectedm 10 to 70 bar</t>
    <phoneticPr fontId="1" type="noConversion"/>
  </si>
  <si>
    <t>Blower</t>
    <phoneticPr fontId="1" type="noConversion"/>
  </si>
  <si>
    <t>Centrifugal</t>
    <phoneticPr fontId="1" type="noConversion"/>
  </si>
  <si>
    <t>Reciprocating</t>
    <phoneticPr fontId="1" type="noConversion"/>
  </si>
  <si>
    <t>kg/h steam</t>
    <phoneticPr fontId="1" type="noConversion"/>
  </si>
  <si>
    <t>diameter, m</t>
    <phoneticPr fontId="1" type="noConversion"/>
  </si>
  <si>
    <t>power, kW</t>
    <phoneticPr fontId="1" type="noConversion"/>
  </si>
  <si>
    <t>Direct contact rotary</t>
    <phoneticPr fontId="1" type="noConversion"/>
  </si>
  <si>
    <t>Atmospheric tray batch</t>
    <phoneticPr fontId="1" type="noConversion"/>
  </si>
  <si>
    <t>Spray dryer</t>
    <phoneticPr fontId="1" type="noConversion"/>
  </si>
  <si>
    <t>Vertical tube</t>
    <phoneticPr fontId="1" type="noConversion"/>
  </si>
  <si>
    <t>Agitated falling film</t>
    <phoneticPr fontId="1" type="noConversion"/>
  </si>
  <si>
    <t>area,m2</t>
    <phoneticPr fontId="1" type="noConversion"/>
  </si>
  <si>
    <t>Direct heated</t>
    <phoneticPr fontId="1" type="noConversion"/>
  </si>
  <si>
    <t>Gas fired</t>
    <phoneticPr fontId="1" type="noConversion"/>
  </si>
  <si>
    <t>evap.rate,kg/h</t>
    <phoneticPr fontId="1" type="noConversion"/>
  </si>
  <si>
    <t>U-tube shell and tube</t>
    <phoneticPr fontId="1" type="noConversion"/>
  </si>
  <si>
    <t>Double pipe</t>
    <phoneticPr fontId="1" type="noConversion"/>
  </si>
  <si>
    <t>Thermosyphon reboiler</t>
    <phoneticPr fontId="1" type="noConversion"/>
  </si>
  <si>
    <t>U-tube kettle reboiler</t>
    <phoneticPr fontId="1" type="noConversion"/>
  </si>
  <si>
    <t>Plate and frame</t>
    <phoneticPr fontId="1" type="noConversion"/>
  </si>
  <si>
    <t>Box</t>
    <phoneticPr fontId="1" type="noConversion"/>
  </si>
  <si>
    <t>Packings</t>
    <phoneticPr fontId="1" type="noConversion"/>
  </si>
  <si>
    <t>304 ss Raschig rings</t>
    <phoneticPr fontId="1" type="noConversion"/>
  </si>
  <si>
    <t>Ceramic intalox saddles</t>
    <phoneticPr fontId="1" type="noConversion"/>
  </si>
  <si>
    <t>304 ss Pall rings</t>
    <phoneticPr fontId="1" type="noConversion"/>
  </si>
  <si>
    <t>PVC structured packing</t>
    <phoneticPr fontId="1" type="noConversion"/>
  </si>
  <si>
    <t>304 ss structured packing</t>
    <phoneticPr fontId="1" type="noConversion"/>
  </si>
  <si>
    <t>Pressure vessels</t>
    <phoneticPr fontId="1" type="noConversion"/>
  </si>
  <si>
    <t>Vertical, cs</t>
    <phoneticPr fontId="1" type="noConversion"/>
  </si>
  <si>
    <t>Horizontal, cs</t>
    <phoneticPr fontId="1" type="noConversion"/>
  </si>
  <si>
    <t>Vertical, 304 ss</t>
    <phoneticPr fontId="1" type="noConversion"/>
  </si>
  <si>
    <t>Horizontal, 304 ss</t>
    <phoneticPr fontId="1" type="noConversion"/>
  </si>
  <si>
    <t>Single-stage centrifugal</t>
    <phoneticPr fontId="1" type="noConversion"/>
  </si>
  <si>
    <t>Explosion proof motor</t>
    <phoneticPr fontId="1" type="noConversion"/>
  </si>
  <si>
    <t>Condensing steam turbine</t>
    <phoneticPr fontId="1" type="noConversion"/>
  </si>
  <si>
    <t>Jacketed, agitated</t>
    <phoneticPr fontId="1" type="noConversion"/>
  </si>
  <si>
    <t>Jacketed,agitated,glass lined</t>
    <phoneticPr fontId="1" type="noConversion"/>
  </si>
  <si>
    <t>Floating roof</t>
    <phoneticPr fontId="1" type="noConversion"/>
  </si>
  <si>
    <t>Cone roof</t>
    <phoneticPr fontId="1" type="noConversion"/>
  </si>
  <si>
    <t>Trays</t>
    <phoneticPr fontId="1" type="noConversion"/>
  </si>
  <si>
    <t>Sieve trays</t>
    <phoneticPr fontId="1" type="noConversion"/>
  </si>
  <si>
    <t>Valve trays</t>
    <phoneticPr fontId="1" type="noConversion"/>
  </si>
  <si>
    <t>Bubble cap trays</t>
    <phoneticPr fontId="1" type="noConversion"/>
  </si>
  <si>
    <t>Cylindrical</t>
    <phoneticPr fontId="1" type="noConversion"/>
  </si>
  <si>
    <r>
      <t>area,m</t>
    </r>
    <r>
      <rPr>
        <vertAlign val="superscript"/>
        <sz val="11"/>
        <color indexed="8"/>
        <rFont val="Tahoma"/>
        <family val="2"/>
      </rPr>
      <t>2</t>
    </r>
    <phoneticPr fontId="1" type="noConversion"/>
  </si>
  <si>
    <r>
      <t>capacity, m</t>
    </r>
    <r>
      <rPr>
        <vertAlign val="superscript"/>
        <sz val="11"/>
        <color indexed="8"/>
        <rFont val="Tahoma"/>
        <family val="2"/>
      </rPr>
      <t>3</t>
    </r>
    <phoneticPr fontId="1" type="noConversion"/>
  </si>
  <si>
    <t>duty, MW</t>
    <phoneticPr fontId="1" type="noConversion"/>
  </si>
  <si>
    <r>
      <t>m</t>
    </r>
    <r>
      <rPr>
        <vertAlign val="superscript"/>
        <sz val="11"/>
        <color indexed="8"/>
        <rFont val="Tahoma"/>
        <family val="2"/>
      </rPr>
      <t>3</t>
    </r>
    <phoneticPr fontId="1" type="noConversion"/>
  </si>
  <si>
    <t>Type 304 stainless steel</t>
    <phoneticPr fontId="1" type="noConversion"/>
  </si>
  <si>
    <r>
      <t>With surface area 350 m</t>
    </r>
    <r>
      <rPr>
        <vertAlign val="superscript"/>
        <sz val="11"/>
        <color indexed="8"/>
        <rFont val="Tahoma"/>
        <family val="2"/>
      </rPr>
      <t>2</t>
    </r>
    <r>
      <rPr>
        <sz val="11"/>
        <color indexed="8"/>
        <rFont val="Tahoma"/>
        <family val="2"/>
      </rPr>
      <t>/m</t>
    </r>
    <r>
      <rPr>
        <vertAlign val="superscript"/>
        <sz val="11"/>
        <color indexed="8"/>
        <rFont val="Tahoma"/>
        <family val="2"/>
      </rPr>
      <t>3</t>
    </r>
    <phoneticPr fontId="1" type="noConversion"/>
  </si>
  <si>
    <t>shell mass, kg</t>
    <phoneticPr fontId="1" type="noConversion"/>
  </si>
  <si>
    <t>Not including heads, ports, brackets, etc.</t>
    <phoneticPr fontId="1" type="noConversion"/>
  </si>
  <si>
    <t>flow, L/s</t>
    <phoneticPr fontId="1" type="noConversion"/>
  </si>
  <si>
    <r>
      <t>volume, m</t>
    </r>
    <r>
      <rPr>
        <vertAlign val="superscript"/>
        <sz val="11"/>
        <color indexed="8"/>
        <rFont val="Tahoma"/>
        <family val="2"/>
      </rPr>
      <t>3</t>
    </r>
    <phoneticPr fontId="1" type="noConversion"/>
  </si>
  <si>
    <t>Type 304 stainless steel.</t>
    <phoneticPr fontId="1" type="noConversion"/>
  </si>
  <si>
    <t>Cost per tray, based on a stack of 30 trays</t>
    <phoneticPr fontId="1" type="noConversion"/>
  </si>
  <si>
    <t>All cost are U.S. Gulf Coast basis, Jan,2007</t>
    <phoneticPr fontId="1" type="noConversion"/>
  </si>
  <si>
    <t>m3/h</t>
  </si>
  <si>
    <t>Flow Rate, L/s</t>
  </si>
  <si>
    <t>Towers</t>
  </si>
  <si>
    <t>Type</t>
  </si>
  <si>
    <t>Driver Power (kw)</t>
  </si>
  <si>
    <t>Flow rate (L/s)</t>
  </si>
  <si>
    <t xml:space="preserve">Process Type </t>
  </si>
  <si>
    <t>Material</t>
  </si>
  <si>
    <t xml:space="preserve"># Installed </t>
  </si>
  <si>
    <t>ISBL Cost</t>
  </si>
  <si>
    <t>Boilers</t>
  </si>
  <si>
    <t>Steam Flow rate (kg/h)</t>
  </si>
  <si>
    <t>Compressors</t>
  </si>
  <si>
    <t>Flow rate (m3/h)</t>
  </si>
  <si>
    <t>Dryers</t>
  </si>
  <si>
    <t>Surface Area (m2)</t>
  </si>
  <si>
    <t>Evap. Rate (kg/h)</t>
  </si>
  <si>
    <t>Evaporators</t>
  </si>
  <si>
    <t>Exchangers</t>
  </si>
  <si>
    <t>Furnaces</t>
  </si>
  <si>
    <t>Duty (MW)</t>
  </si>
  <si>
    <t>Pumps &amp; Drivers</t>
  </si>
  <si>
    <t>Driver Type</t>
  </si>
  <si>
    <t>Agitators &amp; Mixers</t>
  </si>
  <si>
    <t>Boiler Type</t>
  </si>
  <si>
    <t>Compressor Type</t>
  </si>
  <si>
    <t>Dryer Type</t>
  </si>
  <si>
    <t>Evaporator Type</t>
  </si>
  <si>
    <t>Exchanger Type</t>
  </si>
  <si>
    <t>Furnace Type</t>
  </si>
  <si>
    <t xml:space="preserve"> # Purchased</t>
  </si>
  <si>
    <t xml:space="preserve"> Purchase Cost</t>
  </si>
  <si>
    <t xml:space="preserve"> ISBL Cost</t>
  </si>
  <si>
    <t>#  Pump Purchased</t>
  </si>
  <si>
    <t># Driver Purchased</t>
  </si>
  <si>
    <t>Pump Type</t>
  </si>
  <si>
    <t>Pump Material</t>
  </si>
  <si>
    <t>Purchase Cost</t>
  </si>
  <si>
    <t>Reactors</t>
  </si>
  <si>
    <t>Tanks</t>
  </si>
  <si>
    <t>Capacity (m3)</t>
  </si>
  <si>
    <t>User Added Equipment</t>
  </si>
  <si>
    <t>Unit Cost (USD)</t>
  </si>
  <si>
    <t>Process Type</t>
  </si>
  <si>
    <t>Agitators &amp; mixers</t>
  </si>
  <si>
    <t>Boiler</t>
  </si>
  <si>
    <t xml:space="preserve">Evaporators </t>
  </si>
  <si>
    <t>Pumps and drivers</t>
  </si>
  <si>
    <t>Total Purchase Cost</t>
    <phoneticPr fontId="1" type="noConversion"/>
  </si>
  <si>
    <t>Total ISBL</t>
    <phoneticPr fontId="1" type="noConversion"/>
  </si>
  <si>
    <t>Vessel Type</t>
    <phoneticPr fontId="1" type="noConversion"/>
  </si>
  <si>
    <t>Shell Mass (kg)</t>
    <phoneticPr fontId="1" type="noConversion"/>
  </si>
  <si>
    <t>Tray Type</t>
    <phoneticPr fontId="1" type="noConversion"/>
  </si>
  <si>
    <t>Tray Material</t>
    <phoneticPr fontId="1" type="noConversion"/>
  </si>
  <si>
    <t># Trays</t>
    <phoneticPr fontId="1" type="noConversion"/>
  </si>
  <si>
    <t>Packing Type</t>
    <phoneticPr fontId="1" type="noConversion"/>
  </si>
  <si>
    <t>Packing Volume</t>
    <phoneticPr fontId="1" type="noConversion"/>
  </si>
  <si>
    <t># Towers Installed</t>
    <phoneticPr fontId="1" type="noConversion"/>
  </si>
  <si>
    <t># Drivers Installed</t>
    <phoneticPr fontId="1" type="noConversion"/>
  </si>
  <si>
    <t># Pumps Installed</t>
    <phoneticPr fontId="1" type="noConversion"/>
  </si>
  <si>
    <t>ISBL Cost</t>
    <phoneticPr fontId="1" type="noConversion"/>
  </si>
  <si>
    <t>Total Vessel Cost</t>
    <phoneticPr fontId="1" type="noConversion"/>
  </si>
  <si>
    <t>Installed Trays Cost</t>
    <phoneticPr fontId="1" type="noConversion"/>
  </si>
  <si>
    <t>Tank Type</t>
    <phoneticPr fontId="1" type="noConversion"/>
  </si>
  <si>
    <t>Equipment Type</t>
    <phoneticPr fontId="1" type="noConversion"/>
  </si>
  <si>
    <t>Packing Cost</t>
    <phoneticPr fontId="1" type="noConversion"/>
  </si>
  <si>
    <t xml:space="preserve">Vessel Unit Cost </t>
    <phoneticPr fontId="1" type="noConversion"/>
  </si>
  <si>
    <t>Enter CEPCI below:</t>
    <phoneticPr fontId="1" type="noConversion"/>
  </si>
  <si>
    <t>A-101</t>
  </si>
  <si>
    <t>C-101</t>
  </si>
  <si>
    <t>Dummy Position</t>
  </si>
  <si>
    <t>EV-101</t>
  </si>
  <si>
    <t>F-101</t>
  </si>
  <si>
    <t>B-101</t>
    <phoneticPr fontId="1" type="noConversion"/>
  </si>
  <si>
    <t>D-101</t>
    <phoneticPr fontId="1" type="noConversion"/>
  </si>
  <si>
    <t>TK-101</t>
    <phoneticPr fontId="1" type="noConversion"/>
  </si>
  <si>
    <t>U-101</t>
    <phoneticPr fontId="1" type="noConversion"/>
  </si>
  <si>
    <t>Single-Stage Centrifugal</t>
    <phoneticPr fontId="1" type="noConversion"/>
  </si>
  <si>
    <t>Explosion Proof Electric Motor</t>
    <phoneticPr fontId="1" type="noConversion"/>
  </si>
  <si>
    <t>Carbon Steel</t>
    <phoneticPr fontId="1" type="noConversion"/>
  </si>
  <si>
    <t>P-101</t>
    <phoneticPr fontId="1" type="noConversion"/>
  </si>
  <si>
    <t>Total ISBL Cost</t>
    <phoneticPr fontId="1" type="noConversion"/>
  </si>
  <si>
    <t>Total Fixed Capital Cost</t>
    <phoneticPr fontId="1" type="noConversion"/>
  </si>
  <si>
    <t>U-tube Shell and Tube</t>
    <phoneticPr fontId="1" type="noConversion"/>
  </si>
  <si>
    <t>Carbon Steel</t>
    <phoneticPr fontId="1" type="noConversion"/>
  </si>
  <si>
    <t>Fluids</t>
    <phoneticPr fontId="1" type="noConversion"/>
  </si>
  <si>
    <t>E-101</t>
    <phoneticPr fontId="1" type="noConversion"/>
  </si>
  <si>
    <t>Vertical, Carbon Steel</t>
  </si>
  <si>
    <t>NA</t>
  </si>
  <si>
    <t>PVC Structured Packing</t>
  </si>
  <si>
    <t>T-102</t>
  </si>
  <si>
    <t>Department of Chemical &amp; Biomolecular Engineering</t>
  </si>
  <si>
    <t>National University of Singapore</t>
  </si>
  <si>
    <t>Worksheet</t>
  </si>
  <si>
    <t>Description</t>
  </si>
  <si>
    <t>Overview</t>
  </si>
  <si>
    <t>DFP</t>
  </si>
  <si>
    <t>Equipment Cost Data</t>
  </si>
  <si>
    <t>Sinnott R. K. and Towler G., Chemical Engineering Design, Fifth Edition (2009).</t>
  </si>
  <si>
    <t>3. Save the program as a new document using the "Save As" function.</t>
  </si>
  <si>
    <t>Detailed Factorial Program (DFP)</t>
  </si>
  <si>
    <t>DFP is developed based on the Detailed Factorial Estimates Method, cost correlations and data in:</t>
  </si>
  <si>
    <t>Y. Feng and G.P. Rangaiah,  An Evaluation of Capital Cost Estimation Methods and Programs,</t>
  </si>
  <si>
    <t>Chemical Engineering, in press (2011)</t>
  </si>
  <si>
    <t>DFP program is applied and evaulated in:</t>
  </si>
  <si>
    <t>DFP program is for Excel 2003 version and above.</t>
  </si>
  <si>
    <t>There are 2 worksheets in this file. Purpose of each worksheet is outlined below.</t>
  </si>
  <si>
    <t>This provides an overview of the Detailed Factorial Program (DFP).</t>
  </si>
  <si>
    <t>This worksheet is the platform for DFP. The user is required to select the equipment from the available list and input relevant equipment data for capital cost estimation. The unit cost, In-Site Battery Limit (ISBL) cost of each equipment and the total fixed capital cost of the plant are calculated by the program.</t>
  </si>
  <si>
    <t>This worksheet provides information on the cost data used for estimating capital cost. The data are extracted from Sinnott R. K. and Towler G., Chemical Engineering Design, Fifth Edition (2009).</t>
  </si>
  <si>
    <t>Instructions for Using Detailed Factorial Program (DFP)</t>
  </si>
  <si>
    <t>1. Enter Chemical Engineering Plant Cost Index (CEPCI) at the estimation year (integers from 100 to 1000), in cell B2.</t>
  </si>
  <si>
    <t>2. Add the equipment and enter the required information for cost estimation.</t>
  </si>
  <si>
    <t xml:space="preserve">Note: Macro function must be enabled for using DFP. No change should be made to any part of the program. </t>
  </si>
  <si>
    <t xml:space="preserve">          Total fixed capital cost includes off-site, contingency, engineering and design costs.</t>
  </si>
</sst>
</file>

<file path=xl/styles.xml><?xml version="1.0" encoding="utf-8"?>
<styleSheet xmlns="http://schemas.openxmlformats.org/spreadsheetml/2006/main">
  <numFmts count="2">
    <numFmt numFmtId="164" formatCode="&quot;US$&quot;#,##0;\-&quot;US$&quot;#,##0"/>
    <numFmt numFmtId="165" formatCode="&quot;US$&quot;#,##0;[Red]&quot;US$&quot;#,##0"/>
  </numFmts>
  <fonts count="29">
    <font>
      <sz val="11"/>
      <color theme="1"/>
      <name val="Calibri"/>
      <family val="2"/>
      <charset val="134"/>
      <scheme val="minor"/>
    </font>
    <font>
      <sz val="9"/>
      <name val="Calibri"/>
      <family val="2"/>
      <charset val="134"/>
    </font>
    <font>
      <b/>
      <sz val="11"/>
      <color indexed="8"/>
      <name val="Tahoma"/>
      <family val="2"/>
    </font>
    <font>
      <b/>
      <vertAlign val="subscript"/>
      <sz val="11"/>
      <color indexed="8"/>
      <name val="Tahoma"/>
      <family val="2"/>
    </font>
    <font>
      <sz val="11"/>
      <color indexed="8"/>
      <name val="Tahoma"/>
      <family val="2"/>
    </font>
    <font>
      <i/>
      <sz val="11"/>
      <color indexed="8"/>
      <name val="Tahoma"/>
      <family val="2"/>
    </font>
    <font>
      <vertAlign val="superscript"/>
      <sz val="11"/>
      <color indexed="8"/>
      <name val="Tahoma"/>
      <family val="2"/>
    </font>
    <font>
      <i/>
      <sz val="9"/>
      <color indexed="8"/>
      <name val="Tahoma"/>
      <family val="2"/>
    </font>
    <font>
      <b/>
      <i/>
      <sz val="11"/>
      <color indexed="8"/>
      <name val="Tahoma"/>
      <family val="2"/>
    </font>
    <font>
      <b/>
      <sz val="11"/>
      <color indexed="9"/>
      <name val="Arial"/>
      <family val="2"/>
    </font>
    <font>
      <sz val="11"/>
      <color indexed="8"/>
      <name val="Arial"/>
      <family val="2"/>
    </font>
    <font>
      <sz val="11"/>
      <name val="Arial"/>
      <family val="2"/>
    </font>
    <font>
      <b/>
      <sz val="11"/>
      <color indexed="8"/>
      <name val="Arial"/>
      <family val="2"/>
    </font>
    <font>
      <b/>
      <sz val="11"/>
      <name val="Arial"/>
      <family val="2"/>
    </font>
    <font>
      <sz val="2"/>
      <color indexed="9"/>
      <name val="Arial"/>
      <family val="2"/>
    </font>
    <font>
      <b/>
      <sz val="11"/>
      <color theme="0"/>
      <name val="Arial"/>
      <family val="2"/>
    </font>
    <font>
      <sz val="10"/>
      <color rgb="FFFF0000"/>
      <name val="Arial"/>
      <family val="2"/>
    </font>
    <font>
      <sz val="11"/>
      <color rgb="FFFF0000"/>
      <name val="Arial"/>
      <family val="2"/>
    </font>
    <font>
      <sz val="10"/>
      <name val="Arial"/>
      <family val="2"/>
    </font>
    <font>
      <b/>
      <sz val="12"/>
      <name val="Arial"/>
      <family val="2"/>
    </font>
    <font>
      <b/>
      <sz val="12"/>
      <color rgb="FFC00000"/>
      <name val="Arial"/>
      <family val="2"/>
    </font>
    <font>
      <sz val="12"/>
      <color rgb="FF0000FF"/>
      <name val="Arial"/>
      <family val="2"/>
    </font>
    <font>
      <u/>
      <sz val="10"/>
      <color theme="10"/>
      <name val="Arial"/>
      <family val="2"/>
    </font>
    <font>
      <u/>
      <sz val="11"/>
      <color indexed="12"/>
      <name val="Arial"/>
      <family val="2"/>
    </font>
    <font>
      <b/>
      <u/>
      <sz val="11"/>
      <color indexed="8"/>
      <name val="Arial"/>
      <family val="2"/>
    </font>
    <font>
      <b/>
      <sz val="12"/>
      <color rgb="FF0000FF"/>
      <name val="Arial"/>
      <family val="2"/>
    </font>
    <font>
      <b/>
      <sz val="11"/>
      <color rgb="FF0000FF"/>
      <name val="Arial"/>
      <family val="2"/>
    </font>
    <font>
      <b/>
      <sz val="11"/>
      <color rgb="FFC00000"/>
      <name val="Arial"/>
      <family val="2"/>
    </font>
    <font>
      <sz val="11"/>
      <color rgb="FF0000FF"/>
      <name val="Arial"/>
      <family val="2"/>
    </font>
  </fonts>
  <fills count="8">
    <fill>
      <patternFill patternType="none"/>
    </fill>
    <fill>
      <patternFill patternType="gray125"/>
    </fill>
    <fill>
      <patternFill patternType="solid">
        <fgColor indexed="54"/>
        <bgColor indexed="64"/>
      </patternFill>
    </fill>
    <fill>
      <patternFill patternType="solid">
        <fgColor indexed="9"/>
        <bgColor indexed="64"/>
      </patternFill>
    </fill>
    <fill>
      <patternFill patternType="solid">
        <fgColor indexed="62"/>
        <bgColor indexed="64"/>
      </patternFill>
    </fill>
    <fill>
      <patternFill patternType="solid">
        <fgColor theme="3"/>
        <bgColor indexed="64"/>
      </patternFill>
    </fill>
    <fill>
      <patternFill patternType="solid">
        <fgColor indexed="11"/>
        <bgColor indexed="64"/>
      </patternFill>
    </fill>
    <fill>
      <patternFill patternType="solid">
        <fgColor indexed="22"/>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alignment vertical="center"/>
    </xf>
    <xf numFmtId="0" fontId="18" fillId="0" borderId="0"/>
    <xf numFmtId="0" fontId="22" fillId="0" borderId="0" applyNumberFormat="0" applyFill="0" applyBorder="0" applyAlignment="0" applyProtection="0">
      <alignment vertical="top"/>
      <protection locked="0"/>
    </xf>
  </cellStyleXfs>
  <cellXfs count="74">
    <xf numFmtId="0" fontId="0" fillId="0" borderId="0" xfId="0">
      <alignment vertical="center"/>
    </xf>
    <xf numFmtId="0" fontId="2" fillId="0" borderId="0" xfId="0" applyFont="1" applyAlignment="1">
      <alignment horizontal="left" vertical="top" wrapText="1"/>
    </xf>
    <xf numFmtId="0" fontId="4" fillId="0" borderId="0" xfId="0" applyFont="1">
      <alignment vertical="center"/>
    </xf>
    <xf numFmtId="0" fontId="5" fillId="0" borderId="0" xfId="0" applyFont="1">
      <alignment vertical="center"/>
    </xf>
    <xf numFmtId="0" fontId="4"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vertical="top"/>
    </xf>
    <xf numFmtId="0" fontId="7" fillId="0" borderId="0" xfId="0" applyFont="1">
      <alignment vertical="center"/>
    </xf>
    <xf numFmtId="0" fontId="8" fillId="0" borderId="0" xfId="0" applyFont="1">
      <alignment vertical="center"/>
    </xf>
    <xf numFmtId="0" fontId="9"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11" fillId="0" borderId="6" xfId="0" applyFont="1" applyFill="1" applyBorder="1" applyAlignment="1">
      <alignment horizontal="center" vertical="center"/>
    </xf>
    <xf numFmtId="0" fontId="11" fillId="0" borderId="0" xfId="0" applyFont="1" applyFill="1" applyBorder="1" applyAlignment="1">
      <alignment horizontal="center" vertical="center"/>
    </xf>
    <xf numFmtId="0" fontId="10" fillId="3" borderId="0" xfId="0" applyFont="1" applyFill="1" applyAlignment="1">
      <alignment horizontal="center" vertical="center"/>
    </xf>
    <xf numFmtId="0" fontId="12" fillId="3" borderId="0" xfId="0" applyFont="1" applyFill="1" applyAlignment="1">
      <alignment horizontal="center" vertical="center"/>
    </xf>
    <xf numFmtId="0" fontId="11" fillId="0" borderId="0" xfId="0" applyFont="1" applyFill="1" applyAlignment="1">
      <alignment horizontal="center" vertical="center"/>
    </xf>
    <xf numFmtId="0" fontId="9" fillId="4" borderId="5" xfId="0" applyFont="1" applyFill="1" applyBorder="1" applyAlignment="1">
      <alignment horizontal="center" vertical="center"/>
    </xf>
    <xf numFmtId="0" fontId="9" fillId="0" borderId="0" xfId="0" applyFont="1" applyFill="1" applyAlignment="1">
      <alignment horizontal="center" vertical="center"/>
    </xf>
    <xf numFmtId="0" fontId="10" fillId="3" borderId="6" xfId="0" applyFont="1" applyFill="1" applyBorder="1" applyAlignment="1">
      <alignment horizontal="center" vertical="center"/>
    </xf>
    <xf numFmtId="0" fontId="10" fillId="3" borderId="0" xfId="0" applyFont="1" applyFill="1" applyBorder="1" applyAlignment="1">
      <alignment horizontal="center" vertical="center"/>
    </xf>
    <xf numFmtId="0" fontId="9" fillId="0" borderId="5" xfId="0" applyFont="1" applyFill="1" applyBorder="1" applyAlignment="1">
      <alignment horizontal="center" vertical="center"/>
    </xf>
    <xf numFmtId="164" fontId="10" fillId="3" borderId="0" xfId="0" applyNumberFormat="1" applyFont="1" applyFill="1" applyAlignment="1">
      <alignment horizontal="center" vertical="center"/>
    </xf>
    <xf numFmtId="164" fontId="9" fillId="2" borderId="2" xfId="0" applyNumberFormat="1" applyFont="1" applyFill="1" applyBorder="1" applyAlignment="1">
      <alignment horizontal="center" vertical="center"/>
    </xf>
    <xf numFmtId="164" fontId="11" fillId="0" borderId="0" xfId="0" applyNumberFormat="1" applyFont="1" applyFill="1" applyBorder="1" applyAlignment="1">
      <alignment horizontal="center" vertical="center"/>
    </xf>
    <xf numFmtId="164" fontId="11" fillId="0" borderId="5" xfId="0" applyNumberFormat="1" applyFont="1" applyFill="1" applyBorder="1" applyAlignment="1">
      <alignment horizontal="center" vertical="center"/>
    </xf>
    <xf numFmtId="164" fontId="13" fillId="0" borderId="0" xfId="0" applyNumberFormat="1" applyFont="1" applyFill="1" applyAlignment="1">
      <alignment horizontal="center" vertical="center"/>
    </xf>
    <xf numFmtId="164" fontId="10" fillId="3" borderId="0" xfId="0" applyNumberFormat="1" applyFont="1" applyFill="1" applyBorder="1" applyAlignment="1">
      <alignment horizontal="center" vertical="center"/>
    </xf>
    <xf numFmtId="164" fontId="13" fillId="0" borderId="5" xfId="0" applyNumberFormat="1" applyFont="1" applyFill="1" applyBorder="1" applyAlignment="1">
      <alignment horizontal="center" vertical="center"/>
    </xf>
    <xf numFmtId="164" fontId="9" fillId="4" borderId="5" xfId="0" applyNumberFormat="1" applyFont="1" applyFill="1" applyBorder="1" applyAlignment="1">
      <alignment horizontal="center" vertical="center"/>
    </xf>
    <xf numFmtId="164" fontId="9" fillId="0" borderId="0" xfId="0" applyNumberFormat="1" applyFont="1" applyFill="1" applyAlignment="1">
      <alignment horizontal="center" vertical="center"/>
    </xf>
    <xf numFmtId="0" fontId="10" fillId="3" borderId="0" xfId="0" applyNumberFormat="1" applyFont="1" applyFill="1" applyBorder="1" applyAlignment="1">
      <alignment horizontal="center" vertical="center"/>
    </xf>
    <xf numFmtId="164" fontId="10" fillId="3" borderId="5" xfId="0" applyNumberFormat="1" applyFont="1" applyFill="1" applyBorder="1" applyAlignment="1">
      <alignment horizontal="center" vertical="center"/>
    </xf>
    <xf numFmtId="164" fontId="9" fillId="2" borderId="3" xfId="0" applyNumberFormat="1" applyFont="1" applyFill="1" applyBorder="1" applyAlignment="1">
      <alignment horizontal="center" vertical="center"/>
    </xf>
    <xf numFmtId="164" fontId="11" fillId="0" borderId="7" xfId="0" applyNumberFormat="1" applyFont="1" applyFill="1" applyBorder="1" applyAlignment="1">
      <alignment horizontal="center" vertical="center"/>
    </xf>
    <xf numFmtId="164" fontId="10" fillId="3" borderId="8" xfId="0" applyNumberFormat="1" applyFont="1" applyFill="1" applyBorder="1" applyAlignment="1">
      <alignment horizontal="center" vertical="center"/>
    </xf>
    <xf numFmtId="164" fontId="10" fillId="3" borderId="7" xfId="0" applyNumberFormat="1" applyFont="1" applyFill="1" applyBorder="1" applyAlignment="1">
      <alignment horizontal="center" vertical="center"/>
    </xf>
    <xf numFmtId="0" fontId="10" fillId="3" borderId="5" xfId="0" applyNumberFormat="1" applyFont="1" applyFill="1" applyBorder="1" applyAlignment="1">
      <alignment horizontal="center" vertical="center"/>
    </xf>
    <xf numFmtId="0" fontId="12" fillId="3" borderId="9" xfId="0" applyFont="1" applyFill="1" applyBorder="1" applyAlignment="1">
      <alignment horizontal="center" vertical="center"/>
    </xf>
    <xf numFmtId="0" fontId="14" fillId="3" borderId="0" xfId="0" applyFont="1" applyFill="1" applyAlignment="1">
      <alignment horizontal="center" vertical="center"/>
    </xf>
    <xf numFmtId="0" fontId="14" fillId="0" borderId="0" xfId="0" applyFont="1" applyFill="1" applyAlignment="1">
      <alignment horizontal="center" vertical="center"/>
    </xf>
    <xf numFmtId="0" fontId="14" fillId="3" borderId="0" xfId="0" applyFont="1" applyFill="1" applyAlignment="1">
      <alignment horizontal="center" vertical="center" shrinkToFit="1"/>
    </xf>
    <xf numFmtId="165" fontId="10" fillId="3" borderId="0" xfId="0" applyNumberFormat="1" applyFont="1" applyFill="1" applyAlignment="1">
      <alignment horizontal="center" vertical="center"/>
    </xf>
    <xf numFmtId="0" fontId="15" fillId="5" borderId="0" xfId="0" applyFont="1" applyFill="1" applyAlignment="1">
      <alignment horizontal="center" vertical="center"/>
    </xf>
    <xf numFmtId="0" fontId="9" fillId="5" borderId="0" xfId="0" applyFont="1" applyFill="1" applyAlignment="1">
      <alignment horizontal="center" vertical="center"/>
    </xf>
    <xf numFmtId="0" fontId="10" fillId="3" borderId="0" xfId="0" applyFont="1" applyFill="1" applyAlignment="1">
      <alignment horizontal="left" vertical="center"/>
    </xf>
    <xf numFmtId="0" fontId="17" fillId="3" borderId="0" xfId="0" applyFont="1" applyFill="1" applyAlignment="1">
      <alignment horizontal="left" vertical="center"/>
    </xf>
    <xf numFmtId="0" fontId="18" fillId="0" borderId="0" xfId="1" applyAlignment="1">
      <alignment vertical="top"/>
    </xf>
    <xf numFmtId="0" fontId="19" fillId="3" borderId="0" xfId="1" applyFont="1" applyFill="1" applyAlignment="1">
      <alignment horizontal="center" wrapText="1"/>
    </xf>
    <xf numFmtId="0" fontId="13" fillId="7" borderId="11" xfId="1" applyFont="1" applyFill="1" applyBorder="1" applyAlignment="1">
      <alignment horizontal="center" vertical="top"/>
    </xf>
    <xf numFmtId="0" fontId="13" fillId="7" borderId="12" xfId="1" applyFont="1" applyFill="1" applyBorder="1" applyAlignment="1">
      <alignment horizontal="center" wrapText="1"/>
    </xf>
    <xf numFmtId="0" fontId="11" fillId="0" borderId="13" xfId="1" applyFont="1" applyBorder="1" applyAlignment="1">
      <alignment vertical="center" wrapText="1"/>
    </xf>
    <xf numFmtId="0" fontId="23" fillId="7" borderId="14" xfId="2" applyFont="1" applyFill="1" applyBorder="1" applyAlignment="1" applyProtection="1">
      <alignment horizontal="center" vertical="center"/>
    </xf>
    <xf numFmtId="0" fontId="11" fillId="0" borderId="15" xfId="1" applyFont="1" applyBorder="1" applyAlignment="1">
      <alignment vertical="center" wrapText="1"/>
    </xf>
    <xf numFmtId="0" fontId="22" fillId="7" borderId="14" xfId="2" applyFill="1" applyBorder="1" applyAlignment="1" applyProtection="1">
      <alignment horizontal="center" vertical="center" wrapText="1"/>
    </xf>
    <xf numFmtId="0" fontId="18" fillId="0" borderId="0" xfId="1"/>
    <xf numFmtId="0" fontId="22" fillId="7" borderId="16" xfId="2" applyFill="1" applyBorder="1" applyAlignment="1" applyProtection="1">
      <alignment horizontal="center" vertical="center" wrapText="1"/>
    </xf>
    <xf numFmtId="0" fontId="18" fillId="0" borderId="0" xfId="1" applyAlignment="1">
      <alignment wrapText="1"/>
    </xf>
    <xf numFmtId="0" fontId="11" fillId="0" borderId="17" xfId="1" applyFont="1" applyBorder="1" applyAlignment="1">
      <alignment vertical="center" wrapText="1"/>
    </xf>
    <xf numFmtId="0" fontId="24" fillId="3" borderId="0" xfId="0" applyFont="1" applyFill="1" applyAlignment="1">
      <alignment horizontal="left" vertical="center"/>
    </xf>
    <xf numFmtId="0" fontId="13" fillId="3" borderId="0" xfId="1" applyFont="1" applyFill="1" applyAlignment="1">
      <alignment horizontal="center" wrapText="1"/>
    </xf>
    <xf numFmtId="0" fontId="20" fillId="0" borderId="0" xfId="1" applyFont="1" applyAlignment="1">
      <alignment horizontal="center" vertical="top"/>
    </xf>
    <xf numFmtId="0" fontId="19" fillId="0" borderId="0" xfId="1" applyFont="1" applyFill="1" applyAlignment="1">
      <alignment horizontal="center" wrapText="1"/>
    </xf>
    <xf numFmtId="0" fontId="21" fillId="0" borderId="5" xfId="1" applyFont="1" applyBorder="1" applyAlignment="1">
      <alignment horizontal="center" vertical="top"/>
    </xf>
    <xf numFmtId="0" fontId="19" fillId="6" borderId="0" xfId="1" applyFont="1" applyFill="1" applyAlignment="1">
      <alignment horizontal="center" wrapText="1"/>
    </xf>
    <xf numFmtId="0" fontId="19" fillId="3" borderId="0" xfId="1" applyFont="1" applyFill="1" applyAlignment="1">
      <alignment horizontal="center" wrapText="1"/>
    </xf>
    <xf numFmtId="0" fontId="16" fillId="3" borderId="0" xfId="0" applyFont="1" applyFill="1" applyAlignment="1">
      <alignment horizontal="left" vertical="top" wrapText="1"/>
    </xf>
    <xf numFmtId="49" fontId="17" fillId="0" borderId="0" xfId="0" applyNumberFormat="1" applyFont="1" applyAlignment="1" applyProtection="1">
      <alignment horizontal="left" vertical="center"/>
    </xf>
    <xf numFmtId="0" fontId="25" fillId="3" borderId="0" xfId="1" applyFont="1" applyFill="1" applyAlignment="1">
      <alignment horizontal="center" wrapText="1"/>
    </xf>
    <xf numFmtId="0" fontId="26" fillId="3" borderId="0" xfId="1" applyFont="1" applyFill="1" applyAlignment="1">
      <alignment horizontal="center" wrapText="1"/>
    </xf>
    <xf numFmtId="0" fontId="27" fillId="3" borderId="10" xfId="0" applyFont="1" applyFill="1" applyBorder="1" applyAlignment="1">
      <alignment horizontal="center" vertical="center"/>
    </xf>
    <xf numFmtId="0" fontId="28" fillId="3" borderId="0" xfId="0" applyFont="1" applyFill="1" applyAlignment="1">
      <alignment horizontal="left" vertical="center"/>
    </xf>
  </cellXfs>
  <cellStyles count="3">
    <cellStyle name="Hyperlink" xfId="2" builtinId="8"/>
    <cellStyle name="Normal" xfId="0" builtinId="0"/>
    <cellStyle name="Normal 2" xfId="1"/>
  </cellStyles>
  <dxfs count="0"/>
  <tableStyles count="0" defaultTableStyle="TableStyleMedium9" defaultPivotStyle="PivotStyleLight16"/>
  <colors>
    <mruColors>
      <color rgb="FF0000FF"/>
    </mru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276225</xdr:colOff>
      <xdr:row>5</xdr:row>
      <xdr:rowOff>0</xdr:rowOff>
    </xdr:from>
    <xdr:to>
      <xdr:col>1</xdr:col>
      <xdr:colOff>1714500</xdr:colOff>
      <xdr:row>6</xdr:row>
      <xdr:rowOff>104776</xdr:rowOff>
    </xdr:to>
    <xdr:sp macro="[0]!FixedCapitalCostEstimation.EditEquipment_Click" textlink="">
      <xdr:nvSpPr>
        <xdr:cNvPr id="5" name="editEquipment"/>
        <xdr:cNvSpPr/>
      </xdr:nvSpPr>
      <xdr:spPr>
        <a:xfrm>
          <a:off x="276225" y="933450"/>
          <a:ext cx="1733550" cy="285751"/>
        </a:xfrm>
        <a:prstGeom prst="roundRect">
          <a:avLst/>
        </a:prstGeom>
        <a:scene3d>
          <a:camera prst="orthographicFront"/>
          <a:lightRig rig="threePt" dir="t"/>
        </a:scene3d>
        <a:sp3d extrusionH="76200" contourW="12700">
          <a:bevelT w="165100" prst="coolSlant"/>
          <a:bevelB w="165100" prst="coolSlant"/>
          <a:extrusionClr>
            <a:schemeClr val="tx2">
              <a:lumMod val="40000"/>
              <a:lumOff val="60000"/>
            </a:schemeClr>
          </a:extrusionClr>
          <a:contourClr>
            <a:schemeClr val="bg1">
              <a:lumMod val="75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1"/>
        <a:lstStyle/>
        <a:p>
          <a:pPr algn="ctr"/>
          <a:r>
            <a:rPr lang="en-US" altLang="zh-CN" sz="1100" b="1">
              <a:latin typeface="Arial" pitchFamily="34" charset="0"/>
              <a:cs typeface="Arial" pitchFamily="34" charset="0"/>
            </a:rPr>
            <a:t>Edit</a:t>
          </a:r>
          <a:r>
            <a:rPr lang="en-US" altLang="zh-CN" sz="1100" b="1" baseline="0">
              <a:latin typeface="Arial" pitchFamily="34" charset="0"/>
              <a:cs typeface="Arial" pitchFamily="34" charset="0"/>
            </a:rPr>
            <a:t> Equipment</a:t>
          </a:r>
          <a:endParaRPr lang="zh-CN" altLang="en-US" sz="1100" b="1">
            <a:latin typeface="Arial" pitchFamily="34" charset="0"/>
            <a:cs typeface="Arial" pitchFamily="34" charset="0"/>
          </a:endParaRPr>
        </a:p>
      </xdr:txBody>
    </xdr:sp>
    <xdr:clientData/>
  </xdr:twoCellAnchor>
  <xdr:twoCellAnchor>
    <xdr:from>
      <xdr:col>0</xdr:col>
      <xdr:colOff>266700</xdr:colOff>
      <xdr:row>7</xdr:row>
      <xdr:rowOff>47627</xdr:rowOff>
    </xdr:from>
    <xdr:to>
      <xdr:col>1</xdr:col>
      <xdr:colOff>1704975</xdr:colOff>
      <xdr:row>8</xdr:row>
      <xdr:rowOff>152400</xdr:rowOff>
    </xdr:to>
    <xdr:sp macro="[0]!FixedCapitalCostEstimation.DeleteEquipment_Click" textlink="">
      <xdr:nvSpPr>
        <xdr:cNvPr id="6" name="deleteEquipment"/>
        <xdr:cNvSpPr/>
      </xdr:nvSpPr>
      <xdr:spPr>
        <a:xfrm>
          <a:off x="266700" y="1343027"/>
          <a:ext cx="1733550" cy="285748"/>
        </a:xfrm>
        <a:prstGeom prst="roundRect">
          <a:avLst/>
        </a:prstGeom>
        <a:scene3d>
          <a:camera prst="orthographicFront"/>
          <a:lightRig rig="threePt" dir="t"/>
        </a:scene3d>
        <a:sp3d extrusionH="76200" contourW="12700">
          <a:bevelT w="165100" prst="coolSlant"/>
          <a:bevelB w="165100" prst="coolSlant"/>
          <a:extrusionClr>
            <a:schemeClr val="tx2">
              <a:lumMod val="40000"/>
              <a:lumOff val="60000"/>
            </a:schemeClr>
          </a:extrusionClr>
          <a:contourClr>
            <a:schemeClr val="bg1">
              <a:lumMod val="75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1"/>
        <a:lstStyle/>
        <a:p>
          <a:pPr algn="ctr"/>
          <a:r>
            <a:rPr lang="en-US" altLang="zh-CN" sz="1100" b="1">
              <a:latin typeface="Arial" pitchFamily="34" charset="0"/>
              <a:cs typeface="Arial" pitchFamily="34" charset="0"/>
            </a:rPr>
            <a:t>Delete</a:t>
          </a:r>
          <a:r>
            <a:rPr lang="en-US" altLang="zh-CN" sz="1100" b="1" baseline="0">
              <a:latin typeface="Arial" pitchFamily="34" charset="0"/>
              <a:cs typeface="Arial" pitchFamily="34" charset="0"/>
            </a:rPr>
            <a:t> Equipment</a:t>
          </a:r>
          <a:endParaRPr lang="zh-CN" altLang="en-US" sz="1100" b="1">
            <a:latin typeface="Arial" pitchFamily="34" charset="0"/>
            <a:cs typeface="Arial" pitchFamily="34" charset="0"/>
          </a:endParaRPr>
        </a:p>
      </xdr:txBody>
    </xdr:sp>
    <xdr:clientData/>
  </xdr:twoCellAnchor>
  <xdr:twoCellAnchor>
    <xdr:from>
      <xdr:col>0</xdr:col>
      <xdr:colOff>285752</xdr:colOff>
      <xdr:row>2</xdr:row>
      <xdr:rowOff>123825</xdr:rowOff>
    </xdr:from>
    <xdr:to>
      <xdr:col>1</xdr:col>
      <xdr:colOff>1704975</xdr:colOff>
      <xdr:row>4</xdr:row>
      <xdr:rowOff>57150</xdr:rowOff>
    </xdr:to>
    <xdr:sp macro="[0]!FixedCapitalCostEstimation.AddEquipment_Click" textlink="">
      <xdr:nvSpPr>
        <xdr:cNvPr id="1027" name="AddEquipment"/>
        <xdr:cNvSpPr>
          <a:spLocks noChangeArrowheads="1"/>
        </xdr:cNvSpPr>
      </xdr:nvSpPr>
      <xdr:spPr bwMode="auto">
        <a:xfrm>
          <a:off x="285752" y="514350"/>
          <a:ext cx="1714498" cy="295275"/>
        </a:xfrm>
        <a:prstGeom prst="roundRect">
          <a:avLst>
            <a:gd name="adj" fmla="val 16667"/>
          </a:avLst>
        </a:prstGeom>
        <a:solidFill>
          <a:srgbClr val="4F81BD"/>
        </a:solidFill>
        <a:ln w="25400" algn="ctr">
          <a:solidFill>
            <a:srgbClr val="385D8A"/>
          </a:solidFill>
          <a:round/>
          <a:headEnd/>
          <a:tailEnd/>
        </a:ln>
        <a:scene3d>
          <a:camera prst="orthographicFront"/>
          <a:lightRig rig="threePt" dir="t"/>
        </a:scene3d>
        <a:sp3d extrusionH="76200" contourW="12700" prstMaterial="dkEdge">
          <a:bevelT w="165100" prst="coolSlant"/>
          <a:bevelB w="165100" prst="coolSlant"/>
          <a:extrusionClr>
            <a:schemeClr val="tx2">
              <a:lumMod val="40000"/>
              <a:lumOff val="60000"/>
            </a:schemeClr>
          </a:extrusionClr>
          <a:contourClr>
            <a:schemeClr val="bg1">
              <a:lumMod val="75000"/>
            </a:schemeClr>
          </a:contourClr>
        </a:sp3d>
      </xdr:spPr>
      <xdr:txBody>
        <a:bodyPr vertOverflow="clip" wrap="square" lIns="91440" tIns="45720" rIns="91440" bIns="45720" anchor="t" anchorCtr="1" upright="1"/>
        <a:lstStyle/>
        <a:p>
          <a:pPr algn="ctr" rtl="0">
            <a:defRPr sz="1000"/>
          </a:pPr>
          <a:r>
            <a:rPr lang="en-US" sz="1100" b="1" i="0" strike="noStrike">
              <a:solidFill>
                <a:srgbClr val="FFFFFF"/>
              </a:solidFill>
              <a:latin typeface="Arial" pitchFamily="34" charset="0"/>
              <a:cs typeface="Arial" pitchFamily="34" charset="0"/>
            </a:rPr>
            <a:t>Add Equipment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1:C23"/>
  <sheetViews>
    <sheetView tabSelected="1" workbookViewId="0">
      <selection activeCell="B1" sqref="B1:C1"/>
    </sheetView>
  </sheetViews>
  <sheetFormatPr defaultRowHeight="12.75"/>
  <cols>
    <col min="1" max="1" width="9.140625" style="57"/>
    <col min="2" max="2" width="12" style="49" customWidth="1"/>
    <col min="3" max="3" width="104" style="59" customWidth="1"/>
    <col min="4" max="16384" width="9.140625" style="57"/>
  </cols>
  <sheetData>
    <row r="1" spans="2:3" ht="15" customHeight="1">
      <c r="B1" s="66" t="s">
        <v>171</v>
      </c>
      <c r="C1" s="66"/>
    </row>
    <row r="2" spans="2:3" ht="15" customHeight="1">
      <c r="B2" s="66" t="s">
        <v>162</v>
      </c>
      <c r="C2" s="66"/>
    </row>
    <row r="3" spans="2:3" ht="15" customHeight="1">
      <c r="B3" s="66" t="s">
        <v>163</v>
      </c>
      <c r="C3" s="66"/>
    </row>
    <row r="4" spans="2:3" ht="15.75">
      <c r="C4" s="50"/>
    </row>
    <row r="5" spans="2:3" ht="15" customHeight="1">
      <c r="B5" s="67" t="s">
        <v>172</v>
      </c>
      <c r="C5" s="67"/>
    </row>
    <row r="6" spans="2:3" ht="15" customHeight="1">
      <c r="B6" s="62" t="s">
        <v>169</v>
      </c>
      <c r="C6" s="62"/>
    </row>
    <row r="7" spans="2:3" ht="15" customHeight="1">
      <c r="B7" s="70" t="s">
        <v>175</v>
      </c>
      <c r="C7" s="70"/>
    </row>
    <row r="8" spans="2:3" ht="15" customHeight="1">
      <c r="B8" s="71" t="s">
        <v>173</v>
      </c>
      <c r="C8" s="71"/>
    </row>
    <row r="9" spans="2:3" ht="15" customHeight="1">
      <c r="B9" s="71" t="s">
        <v>174</v>
      </c>
      <c r="C9" s="71"/>
    </row>
    <row r="10" spans="2:3" ht="15.75" customHeight="1">
      <c r="B10" s="63" t="s">
        <v>176</v>
      </c>
      <c r="C10" s="63"/>
    </row>
    <row r="11" spans="2:3" ht="16.5" customHeight="1">
      <c r="B11" s="64" t="s">
        <v>177</v>
      </c>
      <c r="C11" s="64"/>
    </row>
    <row r="12" spans="2:3" ht="15.75" thickBot="1">
      <c r="B12" s="65"/>
      <c r="C12" s="65"/>
    </row>
    <row r="13" spans="2:3" ht="15.75" thickBot="1">
      <c r="B13" s="51" t="s">
        <v>164</v>
      </c>
      <c r="C13" s="52" t="s">
        <v>165</v>
      </c>
    </row>
    <row r="14" spans="2:3" ht="21.75" customHeight="1">
      <c r="B14" s="54" t="s">
        <v>166</v>
      </c>
      <c r="C14" s="53" t="s">
        <v>178</v>
      </c>
    </row>
    <row r="15" spans="2:3" ht="14.25">
      <c r="B15" s="54"/>
      <c r="C15" s="55"/>
    </row>
    <row r="16" spans="2:3" ht="55.5" customHeight="1">
      <c r="B16" s="56" t="s">
        <v>167</v>
      </c>
      <c r="C16" s="55" t="s">
        <v>179</v>
      </c>
    </row>
    <row r="17" spans="2:3" ht="14.25">
      <c r="B17" s="54"/>
      <c r="C17" s="55"/>
    </row>
    <row r="18" spans="2:3" ht="41.25" customHeight="1" thickBot="1">
      <c r="B18" s="58" t="s">
        <v>168</v>
      </c>
      <c r="C18" s="60" t="s">
        <v>180</v>
      </c>
    </row>
    <row r="19" spans="2:3">
      <c r="B19" s="57"/>
      <c r="C19" s="57"/>
    </row>
    <row r="20" spans="2:3" ht="18.75" customHeight="1">
      <c r="B20" s="57"/>
      <c r="C20" s="57"/>
    </row>
    <row r="21" spans="2:3">
      <c r="B21" s="57"/>
      <c r="C21" s="57"/>
    </row>
    <row r="22" spans="2:3" ht="24" customHeight="1">
      <c r="B22" s="57"/>
      <c r="C22" s="57"/>
    </row>
    <row r="23" spans="2:3" ht="22.5" customHeight="1">
      <c r="B23" s="57"/>
      <c r="C23" s="57"/>
    </row>
  </sheetData>
  <mergeCells count="11">
    <mergeCell ref="B7:C7"/>
    <mergeCell ref="B1:C1"/>
    <mergeCell ref="B2:C2"/>
    <mergeCell ref="B3:C3"/>
    <mergeCell ref="B5:C5"/>
    <mergeCell ref="B6:C6"/>
    <mergeCell ref="B8:C8"/>
    <mergeCell ref="B9:C9"/>
    <mergeCell ref="B10:C10"/>
    <mergeCell ref="B11:C11"/>
    <mergeCell ref="B12:C12"/>
  </mergeCell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ixedCapitalCostEstimation"/>
  <dimension ref="A1:O62"/>
  <sheetViews>
    <sheetView workbookViewId="0">
      <pane xSplit="2" ySplit="9" topLeftCell="C10" activePane="bottomRight" state="frozen"/>
      <selection pane="topRight" activeCell="C1" sqref="C1"/>
      <selection pane="bottomLeft" activeCell="A8" sqref="A8"/>
      <selection pane="bottomRight" activeCell="C57" sqref="C57"/>
    </sheetView>
  </sheetViews>
  <sheetFormatPr defaultColWidth="9" defaultRowHeight="14.25"/>
  <cols>
    <col min="1" max="1" width="3.85546875" style="41" customWidth="1"/>
    <col min="2" max="2" width="23.42578125" style="16" customWidth="1"/>
    <col min="3" max="3" width="29.28515625" style="16" customWidth="1"/>
    <col min="4" max="4" width="22.7109375" style="16" customWidth="1"/>
    <col min="5" max="5" width="21.28515625" style="16" customWidth="1"/>
    <col min="6" max="6" width="16.85546875" style="16" customWidth="1"/>
    <col min="7" max="7" width="23.7109375" style="16" customWidth="1"/>
    <col min="8" max="8" width="23.85546875" style="16" customWidth="1"/>
    <col min="9" max="9" width="21.28515625" style="24" customWidth="1"/>
    <col min="10" max="10" width="22.140625" style="16" customWidth="1"/>
    <col min="11" max="11" width="16" style="24" customWidth="1"/>
    <col min="12" max="12" width="19.28515625" style="16" customWidth="1"/>
    <col min="13" max="13" width="18" style="16" customWidth="1"/>
    <col min="14" max="14" width="13.42578125" style="16" customWidth="1"/>
    <col min="15" max="16384" width="9" style="16"/>
  </cols>
  <sheetData>
    <row r="1" spans="1:15" ht="15.75" thickTop="1">
      <c r="B1" s="40" t="s">
        <v>138</v>
      </c>
      <c r="C1" s="61" t="s">
        <v>181</v>
      </c>
    </row>
    <row r="2" spans="1:15" ht="15.75" thickBot="1">
      <c r="B2" s="72">
        <v>575</v>
      </c>
      <c r="C2" s="47" t="s">
        <v>182</v>
      </c>
      <c r="D2" s="47"/>
    </row>
    <row r="3" spans="1:15" ht="15" thickTop="1">
      <c r="C3" s="47" t="s">
        <v>183</v>
      </c>
      <c r="D3" s="47"/>
    </row>
    <row r="4" spans="1:15">
      <c r="C4" s="73" t="s">
        <v>170</v>
      </c>
      <c r="D4" s="47"/>
    </row>
    <row r="5" spans="1:15">
      <c r="C5" s="47"/>
      <c r="D5" s="47"/>
    </row>
    <row r="6" spans="1:15">
      <c r="C6" s="48" t="s">
        <v>184</v>
      </c>
      <c r="D6" s="47"/>
    </row>
    <row r="7" spans="1:15">
      <c r="C7" s="69" t="s">
        <v>185</v>
      </c>
      <c r="D7" s="69"/>
      <c r="E7" s="69"/>
      <c r="F7" s="69"/>
      <c r="G7" s="69"/>
      <c r="H7" s="69"/>
      <c r="I7" s="69"/>
      <c r="J7" s="69"/>
      <c r="K7" s="69"/>
      <c r="L7" s="69"/>
      <c r="M7" s="69"/>
      <c r="N7" s="69"/>
      <c r="O7" s="69"/>
    </row>
    <row r="10" spans="1:15" ht="15" hidden="1" customHeight="1" thickBot="1"/>
    <row r="11" spans="1:15" s="17" customFormat="1" ht="15" hidden="1">
      <c r="A11" s="41"/>
      <c r="B11" s="9" t="s">
        <v>94</v>
      </c>
      <c r="C11" s="10" t="s">
        <v>74</v>
      </c>
      <c r="D11" s="10" t="s">
        <v>75</v>
      </c>
      <c r="E11" s="10" t="s">
        <v>76</v>
      </c>
      <c r="F11" s="10" t="s">
        <v>77</v>
      </c>
      <c r="G11" s="10" t="s">
        <v>78</v>
      </c>
      <c r="H11" s="10" t="s">
        <v>101</v>
      </c>
      <c r="I11" s="25" t="s">
        <v>102</v>
      </c>
      <c r="J11" s="10" t="s">
        <v>79</v>
      </c>
      <c r="K11" s="35" t="s">
        <v>103</v>
      </c>
    </row>
    <row r="12" spans="1:15" s="18" customFormat="1" hidden="1">
      <c r="A12" s="42"/>
      <c r="B12" s="14" t="s">
        <v>139</v>
      </c>
      <c r="C12" s="15">
        <v>0</v>
      </c>
      <c r="D12" s="15">
        <v>0</v>
      </c>
      <c r="E12" s="15"/>
      <c r="F12" s="15">
        <v>0</v>
      </c>
      <c r="G12" s="15">
        <v>0</v>
      </c>
      <c r="H12" s="15">
        <v>0</v>
      </c>
      <c r="I12" s="26">
        <v>0</v>
      </c>
      <c r="J12" s="15">
        <v>0</v>
      </c>
      <c r="K12" s="36">
        <v>0</v>
      </c>
    </row>
    <row r="13" spans="1:15" ht="15.75" hidden="1" thickBot="1">
      <c r="A13" s="43" t="s">
        <v>141</v>
      </c>
      <c r="B13" s="12"/>
      <c r="C13" s="13"/>
      <c r="D13" s="13"/>
      <c r="E13" s="13"/>
      <c r="F13" s="13"/>
      <c r="G13" s="13"/>
      <c r="H13" s="19" t="s">
        <v>119</v>
      </c>
      <c r="I13" s="27">
        <f>SUM(I12:I12)</f>
        <v>0</v>
      </c>
      <c r="J13" s="19" t="s">
        <v>120</v>
      </c>
      <c r="K13" s="37">
        <f>SUM(K12:K12)</f>
        <v>0</v>
      </c>
    </row>
    <row r="14" spans="1:15" ht="15.75" hidden="1" thickBot="1">
      <c r="H14" s="20"/>
      <c r="I14" s="28"/>
      <c r="J14" s="20"/>
    </row>
    <row r="15" spans="1:15" ht="15" hidden="1">
      <c r="B15" s="9" t="s">
        <v>81</v>
      </c>
      <c r="C15" s="10" t="s">
        <v>95</v>
      </c>
      <c r="D15" s="10"/>
      <c r="E15" s="10" t="s">
        <v>82</v>
      </c>
      <c r="F15" s="10" t="s">
        <v>77</v>
      </c>
      <c r="G15" s="10" t="s">
        <v>78</v>
      </c>
      <c r="H15" s="10" t="s">
        <v>101</v>
      </c>
      <c r="I15" s="25" t="s">
        <v>102</v>
      </c>
      <c r="J15" s="10" t="s">
        <v>79</v>
      </c>
      <c r="K15" s="35" t="s">
        <v>103</v>
      </c>
    </row>
    <row r="16" spans="1:15" hidden="1">
      <c r="B16" s="21" t="s">
        <v>144</v>
      </c>
      <c r="C16" s="22">
        <v>0</v>
      </c>
      <c r="D16" s="22"/>
      <c r="E16" s="22">
        <v>0</v>
      </c>
      <c r="F16" s="22">
        <v>0</v>
      </c>
      <c r="G16" s="22">
        <v>0</v>
      </c>
      <c r="H16" s="22">
        <v>0</v>
      </c>
      <c r="I16" s="29">
        <v>0</v>
      </c>
      <c r="J16" s="22">
        <v>0</v>
      </c>
      <c r="K16" s="38">
        <v>0</v>
      </c>
    </row>
    <row r="17" spans="1:11" ht="15.75" hidden="1" thickBot="1">
      <c r="A17" s="43" t="s">
        <v>141</v>
      </c>
      <c r="B17" s="12"/>
      <c r="C17" s="13"/>
      <c r="D17" s="13"/>
      <c r="E17" s="13"/>
      <c r="F17" s="13"/>
      <c r="G17" s="13"/>
      <c r="H17" s="19" t="s">
        <v>119</v>
      </c>
      <c r="I17" s="27">
        <f>SUM(I16:I16)</f>
        <v>0</v>
      </c>
      <c r="J17" s="19" t="s">
        <v>120</v>
      </c>
      <c r="K17" s="37">
        <f>SUM(K16:K16)</f>
        <v>0</v>
      </c>
    </row>
    <row r="18" spans="1:11" ht="15.75" hidden="1" thickBot="1">
      <c r="H18" s="20"/>
      <c r="I18" s="28"/>
      <c r="J18" s="20"/>
    </row>
    <row r="19" spans="1:11" ht="15" hidden="1">
      <c r="B19" s="9" t="s">
        <v>83</v>
      </c>
      <c r="C19" s="10" t="s">
        <v>96</v>
      </c>
      <c r="D19" s="10" t="s">
        <v>75</v>
      </c>
      <c r="E19" s="10" t="s">
        <v>84</v>
      </c>
      <c r="F19" s="10" t="s">
        <v>77</v>
      </c>
      <c r="G19" s="10" t="s">
        <v>78</v>
      </c>
      <c r="H19" s="10" t="s">
        <v>101</v>
      </c>
      <c r="I19" s="25" t="s">
        <v>102</v>
      </c>
      <c r="J19" s="10" t="s">
        <v>79</v>
      </c>
      <c r="K19" s="35" t="s">
        <v>103</v>
      </c>
    </row>
    <row r="20" spans="1:11" hidden="1">
      <c r="B20" s="21" t="s">
        <v>140</v>
      </c>
      <c r="C20" s="22">
        <v>0</v>
      </c>
      <c r="D20" s="22"/>
      <c r="E20" s="22">
        <v>0</v>
      </c>
      <c r="F20" s="22">
        <v>0</v>
      </c>
      <c r="G20" s="22">
        <v>0</v>
      </c>
      <c r="H20" s="22">
        <v>0</v>
      </c>
      <c r="I20" s="29">
        <v>0</v>
      </c>
      <c r="J20" s="22">
        <v>0</v>
      </c>
      <c r="K20" s="38">
        <v>0</v>
      </c>
    </row>
    <row r="21" spans="1:11" ht="15.75" hidden="1" thickBot="1">
      <c r="A21" s="43" t="s">
        <v>141</v>
      </c>
      <c r="B21" s="12"/>
      <c r="C21" s="13"/>
      <c r="D21" s="13"/>
      <c r="E21" s="13"/>
      <c r="F21" s="13"/>
      <c r="G21" s="13"/>
      <c r="H21" s="19" t="s">
        <v>119</v>
      </c>
      <c r="I21" s="27">
        <f>SUM(I20:I20)</f>
        <v>0</v>
      </c>
      <c r="J21" s="19" t="s">
        <v>120</v>
      </c>
      <c r="K21" s="37">
        <f>SUM(K20:K20)</f>
        <v>0</v>
      </c>
    </row>
    <row r="22" spans="1:11" ht="15.75" hidden="1" thickBot="1">
      <c r="H22" s="20"/>
      <c r="I22" s="28"/>
      <c r="J22" s="20"/>
    </row>
    <row r="23" spans="1:11" ht="15" hidden="1">
      <c r="B23" s="9" t="s">
        <v>85</v>
      </c>
      <c r="C23" s="10" t="s">
        <v>97</v>
      </c>
      <c r="D23" s="10" t="s">
        <v>86</v>
      </c>
      <c r="E23" s="10" t="s">
        <v>87</v>
      </c>
      <c r="F23" s="10" t="s">
        <v>77</v>
      </c>
      <c r="G23" s="10" t="s">
        <v>78</v>
      </c>
      <c r="H23" s="10" t="s">
        <v>101</v>
      </c>
      <c r="I23" s="25" t="s">
        <v>102</v>
      </c>
      <c r="J23" s="10" t="s">
        <v>79</v>
      </c>
      <c r="K23" s="35" t="s">
        <v>103</v>
      </c>
    </row>
    <row r="24" spans="1:11" hidden="1">
      <c r="B24" s="21" t="s">
        <v>145</v>
      </c>
      <c r="C24" s="22">
        <v>0</v>
      </c>
      <c r="D24" s="22">
        <v>0</v>
      </c>
      <c r="E24" s="22">
        <v>0</v>
      </c>
      <c r="F24" s="22">
        <v>0</v>
      </c>
      <c r="G24" s="22">
        <v>0</v>
      </c>
      <c r="H24" s="22">
        <v>0</v>
      </c>
      <c r="I24" s="29">
        <v>0</v>
      </c>
      <c r="J24" s="22">
        <v>0</v>
      </c>
      <c r="K24" s="38">
        <v>0</v>
      </c>
    </row>
    <row r="25" spans="1:11" ht="15.75" hidden="1" thickBot="1">
      <c r="A25" s="43" t="s">
        <v>141</v>
      </c>
      <c r="B25" s="12"/>
      <c r="C25" s="13"/>
      <c r="D25" s="13"/>
      <c r="E25" s="13"/>
      <c r="F25" s="13"/>
      <c r="G25" s="13"/>
      <c r="H25" s="19" t="s">
        <v>119</v>
      </c>
      <c r="I25" s="27">
        <f>SUM(I24:I24)</f>
        <v>0</v>
      </c>
      <c r="J25" s="19" t="s">
        <v>120</v>
      </c>
      <c r="K25" s="37">
        <f>SUM(K24:K24)</f>
        <v>0</v>
      </c>
    </row>
    <row r="26" spans="1:11" ht="15.75" hidden="1" thickBot="1">
      <c r="H26" s="20"/>
      <c r="I26" s="28"/>
      <c r="J26" s="20"/>
    </row>
    <row r="27" spans="1:11" ht="15" hidden="1">
      <c r="B27" s="9" t="s">
        <v>88</v>
      </c>
      <c r="C27" s="10" t="s">
        <v>98</v>
      </c>
      <c r="D27" s="10" t="s">
        <v>86</v>
      </c>
      <c r="E27" s="10"/>
      <c r="F27" s="10" t="s">
        <v>77</v>
      </c>
      <c r="G27" s="10" t="s">
        <v>78</v>
      </c>
      <c r="H27" s="10" t="s">
        <v>101</v>
      </c>
      <c r="I27" s="25" t="s">
        <v>102</v>
      </c>
      <c r="J27" s="10" t="s">
        <v>79</v>
      </c>
      <c r="K27" s="35" t="s">
        <v>103</v>
      </c>
    </row>
    <row r="28" spans="1:11" hidden="1">
      <c r="B28" s="21" t="s">
        <v>142</v>
      </c>
      <c r="C28" s="22">
        <v>0</v>
      </c>
      <c r="D28" s="22">
        <v>0</v>
      </c>
      <c r="E28" s="22">
        <v>0</v>
      </c>
      <c r="F28" s="22">
        <v>0</v>
      </c>
      <c r="G28" s="22">
        <v>0</v>
      </c>
      <c r="H28" s="22">
        <v>0</v>
      </c>
      <c r="I28" s="29">
        <v>0</v>
      </c>
      <c r="J28" s="22">
        <v>0</v>
      </c>
      <c r="K28" s="38">
        <v>0</v>
      </c>
    </row>
    <row r="29" spans="1:11" ht="15.75" hidden="1" thickBot="1">
      <c r="A29" s="43" t="s">
        <v>141</v>
      </c>
      <c r="B29" s="12"/>
      <c r="C29" s="13"/>
      <c r="D29" s="13"/>
      <c r="E29" s="13"/>
      <c r="F29" s="13"/>
      <c r="G29" s="13"/>
      <c r="H29" s="19" t="s">
        <v>119</v>
      </c>
      <c r="I29" s="27">
        <f>SUM(I28:I28)</f>
        <v>0</v>
      </c>
      <c r="J29" s="19" t="s">
        <v>120</v>
      </c>
      <c r="K29" s="37">
        <f>SUM(K28:K28)</f>
        <v>0</v>
      </c>
    </row>
    <row r="30" spans="1:11" ht="15.75" hidden="1" thickBot="1">
      <c r="H30" s="20"/>
      <c r="I30" s="28"/>
      <c r="J30" s="20"/>
    </row>
    <row r="31" spans="1:11" ht="15" hidden="1">
      <c r="B31" s="9" t="s">
        <v>89</v>
      </c>
      <c r="C31" s="10" t="s">
        <v>99</v>
      </c>
      <c r="D31" s="10" t="s">
        <v>86</v>
      </c>
      <c r="E31" s="10"/>
      <c r="F31" s="10" t="s">
        <v>114</v>
      </c>
      <c r="G31" s="10" t="s">
        <v>78</v>
      </c>
      <c r="H31" s="10" t="s">
        <v>101</v>
      </c>
      <c r="I31" s="25" t="s">
        <v>102</v>
      </c>
      <c r="J31" s="10" t="s">
        <v>79</v>
      </c>
      <c r="K31" s="35" t="s">
        <v>103</v>
      </c>
    </row>
    <row r="32" spans="1:11" hidden="1">
      <c r="B32" s="21" t="s">
        <v>157</v>
      </c>
      <c r="C32" s="22" t="s">
        <v>154</v>
      </c>
      <c r="D32" s="22">
        <v>60</v>
      </c>
      <c r="E32" s="22"/>
      <c r="F32" s="22" t="s">
        <v>156</v>
      </c>
      <c r="G32" s="22" t="s">
        <v>155</v>
      </c>
      <c r="H32" s="22">
        <v>1</v>
      </c>
      <c r="I32" s="29">
        <v>0</v>
      </c>
      <c r="J32" s="22">
        <v>1</v>
      </c>
      <c r="K32" s="38">
        <v>0</v>
      </c>
    </row>
    <row r="33" spans="1:14" ht="15.75" hidden="1" thickBot="1">
      <c r="A33" s="43" t="s">
        <v>141</v>
      </c>
      <c r="B33" s="12"/>
      <c r="C33" s="13"/>
      <c r="D33" s="13"/>
      <c r="E33" s="13"/>
      <c r="F33" s="13"/>
      <c r="G33" s="13"/>
      <c r="H33" s="19" t="s">
        <v>119</v>
      </c>
      <c r="I33" s="27">
        <f>SUM(I32:I32)</f>
        <v>0</v>
      </c>
      <c r="J33" s="19" t="s">
        <v>120</v>
      </c>
      <c r="K33" s="37">
        <f>SUM(K32:K32)</f>
        <v>0</v>
      </c>
    </row>
    <row r="34" spans="1:14" ht="15.75" hidden="1" thickBot="1">
      <c r="H34" s="20"/>
      <c r="I34" s="28"/>
      <c r="J34" s="20"/>
    </row>
    <row r="35" spans="1:14" ht="15" hidden="1">
      <c r="B35" s="9" t="s">
        <v>90</v>
      </c>
      <c r="C35" s="10" t="s">
        <v>100</v>
      </c>
      <c r="D35" s="10" t="s">
        <v>91</v>
      </c>
      <c r="E35" s="10"/>
      <c r="F35" s="10" t="s">
        <v>77</v>
      </c>
      <c r="G35" s="10" t="s">
        <v>78</v>
      </c>
      <c r="H35" s="10" t="s">
        <v>101</v>
      </c>
      <c r="I35" s="25" t="s">
        <v>102</v>
      </c>
      <c r="J35" s="10" t="s">
        <v>79</v>
      </c>
      <c r="K35" s="35" t="s">
        <v>103</v>
      </c>
    </row>
    <row r="36" spans="1:14" hidden="1">
      <c r="B36" s="21" t="s">
        <v>143</v>
      </c>
      <c r="C36" s="22">
        <v>0</v>
      </c>
      <c r="D36" s="22">
        <v>0</v>
      </c>
      <c r="E36" s="22">
        <v>0</v>
      </c>
      <c r="F36" s="22">
        <v>0</v>
      </c>
      <c r="G36" s="22">
        <v>0</v>
      </c>
      <c r="H36" s="22">
        <v>0</v>
      </c>
      <c r="I36" s="29">
        <v>0</v>
      </c>
      <c r="J36" s="22">
        <v>0</v>
      </c>
      <c r="K36" s="38">
        <v>0</v>
      </c>
    </row>
    <row r="37" spans="1:14" ht="15.75" hidden="1" thickBot="1">
      <c r="A37" s="43" t="s">
        <v>141</v>
      </c>
      <c r="B37" s="12"/>
      <c r="C37" s="13"/>
      <c r="D37" s="13"/>
      <c r="E37" s="13"/>
      <c r="F37" s="13"/>
      <c r="G37" s="13"/>
      <c r="H37" s="19" t="s">
        <v>119</v>
      </c>
      <c r="I37" s="27">
        <f>SUM(I36:I36)</f>
        <v>0</v>
      </c>
      <c r="J37" s="19" t="s">
        <v>120</v>
      </c>
      <c r="K37" s="37">
        <f>SUM(K36:K36)</f>
        <v>0</v>
      </c>
    </row>
    <row r="38" spans="1:14" ht="15.75" hidden="1" thickBot="1">
      <c r="H38" s="20"/>
      <c r="I38" s="28"/>
      <c r="J38" s="20"/>
    </row>
    <row r="39" spans="1:14" ht="15" hidden="1">
      <c r="B39" s="9" t="s">
        <v>92</v>
      </c>
      <c r="C39" s="10" t="s">
        <v>93</v>
      </c>
      <c r="D39" s="10" t="s">
        <v>106</v>
      </c>
      <c r="E39" s="10" t="s">
        <v>75</v>
      </c>
      <c r="F39" s="10" t="s">
        <v>76</v>
      </c>
      <c r="G39" s="10" t="s">
        <v>107</v>
      </c>
      <c r="H39" s="10" t="s">
        <v>104</v>
      </c>
      <c r="I39" s="25" t="s">
        <v>105</v>
      </c>
      <c r="J39" s="10" t="s">
        <v>108</v>
      </c>
      <c r="K39" s="25" t="s">
        <v>130</v>
      </c>
      <c r="L39" s="10" t="s">
        <v>129</v>
      </c>
      <c r="M39" s="11" t="s">
        <v>80</v>
      </c>
      <c r="N39" s="20"/>
    </row>
    <row r="40" spans="1:14" hidden="1">
      <c r="B40" s="21" t="s">
        <v>151</v>
      </c>
      <c r="C40" s="22" t="s">
        <v>149</v>
      </c>
      <c r="D40" s="22" t="s">
        <v>148</v>
      </c>
      <c r="E40" s="22">
        <v>5</v>
      </c>
      <c r="F40" s="22">
        <v>0.5</v>
      </c>
      <c r="G40" s="22" t="s">
        <v>150</v>
      </c>
      <c r="H40" s="22">
        <v>1</v>
      </c>
      <c r="I40" s="33">
        <v>1</v>
      </c>
      <c r="J40" s="29">
        <v>0</v>
      </c>
      <c r="K40" s="33">
        <v>1</v>
      </c>
      <c r="L40" s="22">
        <v>1</v>
      </c>
      <c r="M40" s="38">
        <v>0</v>
      </c>
    </row>
    <row r="41" spans="1:14" ht="15.75" hidden="1" thickBot="1">
      <c r="A41" s="43" t="s">
        <v>141</v>
      </c>
      <c r="B41" s="12"/>
      <c r="C41" s="13"/>
      <c r="D41" s="13"/>
      <c r="E41" s="13"/>
      <c r="F41" s="13"/>
      <c r="G41" s="13"/>
      <c r="H41" s="13"/>
      <c r="I41" s="31" t="s">
        <v>119</v>
      </c>
      <c r="J41" s="34">
        <f>SUM(J40:J40)</f>
        <v>0</v>
      </c>
      <c r="K41" s="39"/>
      <c r="L41" s="19" t="s">
        <v>120</v>
      </c>
      <c r="M41" s="37">
        <f>SUM(M40:M40)</f>
        <v>0</v>
      </c>
    </row>
    <row r="42" spans="1:14" ht="15.75" hidden="1" thickBot="1">
      <c r="I42" s="32"/>
      <c r="L42" s="20"/>
    </row>
    <row r="43" spans="1:14" ht="15" hidden="1">
      <c r="B43" s="9" t="s">
        <v>110</v>
      </c>
      <c r="C43" s="10" t="s">
        <v>134</v>
      </c>
      <c r="D43" s="10" t="s">
        <v>111</v>
      </c>
      <c r="E43" s="10"/>
      <c r="F43" s="10" t="s">
        <v>77</v>
      </c>
      <c r="G43" s="10" t="s">
        <v>78</v>
      </c>
      <c r="H43" s="10" t="s">
        <v>101</v>
      </c>
      <c r="I43" s="25" t="s">
        <v>102</v>
      </c>
      <c r="J43" s="10" t="s">
        <v>79</v>
      </c>
      <c r="K43" s="35" t="s">
        <v>103</v>
      </c>
    </row>
    <row r="44" spans="1:14" s="18" customFormat="1" hidden="1">
      <c r="A44" s="42"/>
      <c r="B44" s="14" t="s">
        <v>146</v>
      </c>
      <c r="C44" s="15">
        <v>0</v>
      </c>
      <c r="D44" s="15">
        <v>0</v>
      </c>
      <c r="E44" s="15">
        <v>0</v>
      </c>
      <c r="F44" s="15">
        <v>0</v>
      </c>
      <c r="G44" s="15">
        <v>0</v>
      </c>
      <c r="H44" s="15">
        <v>0</v>
      </c>
      <c r="I44" s="26">
        <v>0</v>
      </c>
      <c r="J44" s="15">
        <v>0</v>
      </c>
      <c r="K44" s="36">
        <v>0</v>
      </c>
    </row>
    <row r="45" spans="1:14" ht="15.75" hidden="1" thickBot="1">
      <c r="A45" s="43" t="s">
        <v>141</v>
      </c>
      <c r="B45" s="12"/>
      <c r="C45" s="13"/>
      <c r="D45" s="13"/>
      <c r="E45" s="13"/>
      <c r="F45" s="13"/>
      <c r="G45" s="13"/>
      <c r="H45" s="19" t="s">
        <v>119</v>
      </c>
      <c r="I45" s="27">
        <f>SUM(I44:I44)</f>
        <v>0</v>
      </c>
      <c r="J45" s="19" t="s">
        <v>120</v>
      </c>
      <c r="K45" s="37">
        <f>SUM(K44:K44)</f>
        <v>0</v>
      </c>
    </row>
    <row r="46" spans="1:14" ht="15.75" hidden="1" thickBot="1">
      <c r="H46" s="20"/>
      <c r="I46" s="28"/>
      <c r="J46" s="20"/>
    </row>
    <row r="47" spans="1:14" ht="15" hidden="1">
      <c r="B47" s="9" t="s">
        <v>73</v>
      </c>
      <c r="C47" s="10" t="s">
        <v>121</v>
      </c>
      <c r="D47" s="10" t="s">
        <v>122</v>
      </c>
      <c r="E47" s="10" t="s">
        <v>137</v>
      </c>
      <c r="F47" s="10" t="s">
        <v>123</v>
      </c>
      <c r="G47" s="10" t="s">
        <v>125</v>
      </c>
      <c r="H47" s="10" t="s">
        <v>124</v>
      </c>
      <c r="I47" s="25" t="s">
        <v>133</v>
      </c>
      <c r="J47" s="10" t="s">
        <v>126</v>
      </c>
      <c r="K47" s="25" t="s">
        <v>127</v>
      </c>
      <c r="L47" s="10" t="s">
        <v>136</v>
      </c>
      <c r="M47" s="10" t="s">
        <v>128</v>
      </c>
      <c r="N47" s="11" t="s">
        <v>131</v>
      </c>
    </row>
    <row r="48" spans="1:14" hidden="1">
      <c r="B48" s="21" t="s">
        <v>161</v>
      </c>
      <c r="C48" s="22" t="s">
        <v>158</v>
      </c>
      <c r="D48" s="22">
        <v>7398.451</v>
      </c>
      <c r="E48" s="29">
        <f>ROUND(66385.529569368*CEPCI/510,-2)</f>
        <v>74800</v>
      </c>
      <c r="F48" s="22" t="s">
        <v>159</v>
      </c>
      <c r="G48" s="22" t="s">
        <v>159</v>
      </c>
      <c r="H48" s="22" t="s">
        <v>159</v>
      </c>
      <c r="I48" s="29" t="s">
        <v>159</v>
      </c>
      <c r="J48" s="22" t="s">
        <v>160</v>
      </c>
      <c r="K48" s="33">
        <v>37.699109999999997</v>
      </c>
      <c r="L48" s="29">
        <f>ROUND(18849.5559692383*CEPCI/510,-2)</f>
        <v>21300</v>
      </c>
      <c r="M48" s="22">
        <v>1</v>
      </c>
      <c r="N48" s="38">
        <v>0</v>
      </c>
    </row>
    <row r="49" spans="1:14" ht="15.75" hidden="1" thickBot="1">
      <c r="A49" s="43" t="s">
        <v>141</v>
      </c>
      <c r="B49" s="12"/>
      <c r="C49" s="13"/>
      <c r="D49" s="19" t="s">
        <v>132</v>
      </c>
      <c r="E49" s="34">
        <f>SUM(E48:E48)</f>
        <v>74800</v>
      </c>
      <c r="F49" s="13"/>
      <c r="G49" s="13"/>
      <c r="H49" s="23"/>
      <c r="I49" s="30"/>
      <c r="J49" s="13"/>
      <c r="K49" s="39"/>
      <c r="L49" s="34"/>
      <c r="M49" s="19" t="s">
        <v>120</v>
      </c>
      <c r="N49" s="37">
        <f>SUM(N48:N48)</f>
        <v>0</v>
      </c>
    </row>
    <row r="50" spans="1:14" ht="15.75" hidden="1" thickBot="1">
      <c r="H50" s="20"/>
      <c r="I50" s="28"/>
      <c r="J50" s="20"/>
    </row>
    <row r="51" spans="1:14" ht="15" hidden="1">
      <c r="B51" s="9" t="s">
        <v>112</v>
      </c>
      <c r="C51" s="10" t="s">
        <v>135</v>
      </c>
      <c r="D51" s="10" t="s">
        <v>113</v>
      </c>
      <c r="E51" s="10"/>
      <c r="F51" s="10" t="s">
        <v>77</v>
      </c>
      <c r="G51" s="10" t="s">
        <v>78</v>
      </c>
      <c r="H51" s="10" t="s">
        <v>101</v>
      </c>
      <c r="I51" s="25" t="s">
        <v>102</v>
      </c>
      <c r="J51" s="10" t="s">
        <v>79</v>
      </c>
      <c r="K51" s="35" t="s">
        <v>103</v>
      </c>
    </row>
    <row r="52" spans="1:14" hidden="1">
      <c r="B52" s="21" t="s">
        <v>147</v>
      </c>
      <c r="C52" s="22">
        <v>0</v>
      </c>
      <c r="D52" s="22">
        <v>0</v>
      </c>
      <c r="E52" s="22">
        <v>0</v>
      </c>
      <c r="F52" s="22">
        <v>0</v>
      </c>
      <c r="G52" s="22">
        <v>0</v>
      </c>
      <c r="H52" s="22">
        <v>0</v>
      </c>
      <c r="I52" s="29">
        <v>0</v>
      </c>
      <c r="J52" s="22">
        <v>0</v>
      </c>
      <c r="K52" s="38">
        <v>0</v>
      </c>
    </row>
    <row r="53" spans="1:14" ht="15.75" hidden="1" thickBot="1">
      <c r="A53" s="43" t="s">
        <v>141</v>
      </c>
      <c r="B53" s="12"/>
      <c r="C53" s="13"/>
      <c r="D53" s="13"/>
      <c r="E53" s="13"/>
      <c r="F53" s="13"/>
      <c r="G53" s="13"/>
      <c r="H53" s="19" t="s">
        <v>119</v>
      </c>
      <c r="I53" s="30"/>
      <c r="J53" s="19" t="s">
        <v>120</v>
      </c>
      <c r="K53" s="37"/>
    </row>
    <row r="55" spans="1:14" ht="15">
      <c r="B55" s="46" t="s">
        <v>152</v>
      </c>
    </row>
    <row r="56" spans="1:14">
      <c r="B56" s="44">
        <f>SUM(K53,N49,K45,M41,K37,K33,K29,K25,K21,K17,K13)</f>
        <v>0</v>
      </c>
    </row>
    <row r="57" spans="1:14" ht="15">
      <c r="B57" s="45" t="s">
        <v>153</v>
      </c>
    </row>
    <row r="58" spans="1:14">
      <c r="B58" s="44">
        <f>B56*1.82</f>
        <v>0</v>
      </c>
    </row>
    <row r="59" spans="1:14">
      <c r="B59" s="68"/>
    </row>
    <row r="60" spans="1:14">
      <c r="B60" s="68"/>
    </row>
    <row r="61" spans="1:14">
      <c r="B61" s="68"/>
    </row>
    <row r="62" spans="1:14">
      <c r="B62" s="68"/>
    </row>
  </sheetData>
  <mergeCells count="2">
    <mergeCell ref="B59:B62"/>
    <mergeCell ref="C7:O7"/>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EquipmentCostData"/>
  <dimension ref="A1:H67"/>
  <sheetViews>
    <sheetView workbookViewId="0">
      <pane xSplit="1" ySplit="2" topLeftCell="B12" activePane="bottomRight" state="frozen"/>
      <selection pane="topRight" activeCell="B1" sqref="B1"/>
      <selection pane="bottomLeft" activeCell="A3" sqref="A3"/>
      <selection pane="bottomRight" activeCell="F29" sqref="F29"/>
    </sheetView>
  </sheetViews>
  <sheetFormatPr defaultColWidth="9" defaultRowHeight="14.25"/>
  <cols>
    <col min="1" max="1" width="30.140625" style="2" customWidth="1"/>
    <col min="2" max="2" width="17" style="4" customWidth="1"/>
    <col min="3" max="7" width="9" style="4"/>
    <col min="8" max="8" width="36.140625" style="4" customWidth="1"/>
    <col min="9" max="16384" width="9" style="2"/>
  </cols>
  <sheetData>
    <row r="1" spans="1:8">
      <c r="A1" s="7" t="s">
        <v>70</v>
      </c>
    </row>
    <row r="2" spans="1:8" s="6" customFormat="1" ht="17.25" customHeight="1">
      <c r="A2" s="5" t="s">
        <v>0</v>
      </c>
      <c r="B2" s="1" t="s">
        <v>1</v>
      </c>
      <c r="C2" s="5" t="s">
        <v>6</v>
      </c>
      <c r="D2" s="5" t="s">
        <v>7</v>
      </c>
      <c r="E2" s="5" t="s">
        <v>2</v>
      </c>
      <c r="F2" s="5" t="s">
        <v>3</v>
      </c>
      <c r="G2" s="5" t="s">
        <v>4</v>
      </c>
      <c r="H2" s="5" t="s">
        <v>5</v>
      </c>
    </row>
    <row r="3" spans="1:8">
      <c r="A3" s="8" t="s">
        <v>115</v>
      </c>
    </row>
    <row r="4" spans="1:8">
      <c r="A4" s="2" t="s">
        <v>8</v>
      </c>
      <c r="B4" s="4" t="s">
        <v>11</v>
      </c>
      <c r="C4" s="4">
        <v>5</v>
      </c>
      <c r="D4" s="4">
        <v>75</v>
      </c>
      <c r="E4" s="4">
        <v>15000</v>
      </c>
      <c r="F4" s="4">
        <v>990</v>
      </c>
      <c r="G4" s="4">
        <v>1.05</v>
      </c>
    </row>
    <row r="5" spans="1:8">
      <c r="A5" s="2" t="s">
        <v>9</v>
      </c>
      <c r="B5" s="4" t="s">
        <v>11</v>
      </c>
      <c r="C5" s="4">
        <v>5</v>
      </c>
      <c r="D5" s="4">
        <v>35</v>
      </c>
      <c r="E5" s="4">
        <v>27000</v>
      </c>
      <c r="F5" s="4">
        <v>110</v>
      </c>
      <c r="G5" s="4">
        <v>2</v>
      </c>
    </row>
    <row r="6" spans="1:8">
      <c r="A6" s="2" t="s">
        <v>10</v>
      </c>
      <c r="B6" s="4" t="s">
        <v>72</v>
      </c>
      <c r="C6" s="4">
        <v>1</v>
      </c>
      <c r="D6" s="4">
        <v>50</v>
      </c>
      <c r="E6" s="4">
        <v>500</v>
      </c>
      <c r="F6" s="4">
        <v>1030</v>
      </c>
      <c r="G6" s="4">
        <v>0.4</v>
      </c>
    </row>
    <row r="8" spans="1:8">
      <c r="A8" s="8" t="s">
        <v>116</v>
      </c>
    </row>
    <row r="9" spans="1:8">
      <c r="A9" s="2" t="s">
        <v>12</v>
      </c>
      <c r="B9" s="4" t="s">
        <v>17</v>
      </c>
      <c r="C9" s="4">
        <v>5000</v>
      </c>
      <c r="D9" s="4">
        <v>200000</v>
      </c>
      <c r="E9" s="4">
        <v>106000</v>
      </c>
      <c r="F9" s="4">
        <v>8.6999999999999993</v>
      </c>
      <c r="G9" s="4">
        <v>1</v>
      </c>
    </row>
    <row r="10" spans="1:8">
      <c r="A10" s="2" t="s">
        <v>13</v>
      </c>
      <c r="B10" s="4" t="s">
        <v>17</v>
      </c>
      <c r="C10" s="4">
        <v>20000</v>
      </c>
      <c r="D10" s="4">
        <v>800000</v>
      </c>
      <c r="E10" s="4">
        <v>110000</v>
      </c>
      <c r="F10" s="4">
        <v>45</v>
      </c>
      <c r="G10" s="4">
        <v>0.99</v>
      </c>
    </row>
    <row r="12" spans="1:8">
      <c r="A12" s="8" t="s">
        <v>83</v>
      </c>
    </row>
    <row r="13" spans="1:8">
      <c r="A13" s="2" t="s">
        <v>14</v>
      </c>
      <c r="B13" s="4" t="s">
        <v>71</v>
      </c>
      <c r="C13" s="4">
        <v>200</v>
      </c>
      <c r="D13" s="4">
        <v>5000</v>
      </c>
      <c r="E13" s="4">
        <v>3800</v>
      </c>
      <c r="F13" s="4">
        <v>49</v>
      </c>
      <c r="G13" s="4">
        <v>0.8</v>
      </c>
    </row>
    <row r="14" spans="1:8">
      <c r="A14" s="2" t="s">
        <v>15</v>
      </c>
      <c r="B14" s="4" t="s">
        <v>11</v>
      </c>
      <c r="C14" s="4">
        <v>75</v>
      </c>
      <c r="D14" s="4">
        <v>30000</v>
      </c>
      <c r="E14" s="4">
        <v>490000</v>
      </c>
      <c r="F14" s="4">
        <v>16800</v>
      </c>
      <c r="G14" s="4">
        <v>0.6</v>
      </c>
    </row>
    <row r="15" spans="1:8">
      <c r="A15" s="2" t="s">
        <v>16</v>
      </c>
      <c r="B15" s="4" t="s">
        <v>11</v>
      </c>
      <c r="C15" s="4">
        <v>93</v>
      </c>
      <c r="D15" s="4">
        <v>16800</v>
      </c>
      <c r="E15" s="4">
        <v>220000</v>
      </c>
      <c r="F15" s="4">
        <v>2300</v>
      </c>
      <c r="G15" s="4">
        <v>0.75</v>
      </c>
    </row>
    <row r="17" spans="1:8">
      <c r="A17" s="8" t="s">
        <v>85</v>
      </c>
    </row>
    <row r="18" spans="1:8">
      <c r="A18" s="2" t="s">
        <v>20</v>
      </c>
      <c r="B18" s="4" t="s">
        <v>25</v>
      </c>
      <c r="C18" s="4">
        <v>11</v>
      </c>
      <c r="D18" s="4">
        <v>180</v>
      </c>
      <c r="E18" s="4">
        <v>13000</v>
      </c>
      <c r="F18" s="4">
        <v>9100</v>
      </c>
      <c r="G18" s="4">
        <v>0.9</v>
      </c>
      <c r="H18" s="4" t="s">
        <v>26</v>
      </c>
    </row>
    <row r="19" spans="1:8">
      <c r="A19" s="2" t="s">
        <v>21</v>
      </c>
      <c r="B19" s="4" t="s">
        <v>25</v>
      </c>
      <c r="C19" s="4">
        <v>3</v>
      </c>
      <c r="D19" s="4">
        <v>20</v>
      </c>
      <c r="E19" s="4">
        <v>8700</v>
      </c>
      <c r="F19" s="4">
        <v>6800</v>
      </c>
      <c r="G19" s="4">
        <v>0.5</v>
      </c>
      <c r="H19" s="4" t="s">
        <v>27</v>
      </c>
    </row>
    <row r="20" spans="1:8">
      <c r="A20" s="2" t="s">
        <v>22</v>
      </c>
      <c r="B20" s="4" t="s">
        <v>28</v>
      </c>
      <c r="C20" s="4">
        <v>400</v>
      </c>
      <c r="D20" s="4">
        <v>4000</v>
      </c>
      <c r="E20" s="4">
        <v>350000</v>
      </c>
      <c r="F20" s="4">
        <v>1900</v>
      </c>
      <c r="G20" s="4">
        <v>0.7</v>
      </c>
    </row>
    <row r="22" spans="1:8">
      <c r="A22" s="8" t="s">
        <v>117</v>
      </c>
    </row>
    <row r="23" spans="1:8" ht="15.75">
      <c r="A23" s="2" t="s">
        <v>23</v>
      </c>
      <c r="B23" s="4" t="s">
        <v>58</v>
      </c>
      <c r="C23" s="4">
        <v>11</v>
      </c>
      <c r="D23" s="4">
        <v>640</v>
      </c>
      <c r="E23" s="4">
        <v>280</v>
      </c>
      <c r="F23" s="4">
        <v>30500</v>
      </c>
      <c r="G23" s="4">
        <v>0.55000000000000004</v>
      </c>
    </row>
    <row r="24" spans="1:8" ht="15.75">
      <c r="A24" s="2" t="s">
        <v>24</v>
      </c>
      <c r="B24" s="4" t="s">
        <v>58</v>
      </c>
      <c r="C24" s="4">
        <v>0.5</v>
      </c>
      <c r="D24" s="4">
        <v>12</v>
      </c>
      <c r="E24" s="4">
        <v>75000</v>
      </c>
      <c r="F24" s="4">
        <v>56000</v>
      </c>
      <c r="G24" s="4">
        <v>0.75</v>
      </c>
    </row>
    <row r="26" spans="1:8">
      <c r="A26" s="8" t="s">
        <v>89</v>
      </c>
    </row>
    <row r="27" spans="1:8" ht="15.75">
      <c r="A27" s="2" t="s">
        <v>29</v>
      </c>
      <c r="B27" s="4" t="s">
        <v>58</v>
      </c>
      <c r="C27" s="4">
        <v>10</v>
      </c>
      <c r="D27" s="4">
        <v>1000</v>
      </c>
      <c r="E27" s="4">
        <v>24000</v>
      </c>
      <c r="F27" s="4">
        <v>46</v>
      </c>
      <c r="G27" s="4">
        <v>1.2</v>
      </c>
    </row>
    <row r="28" spans="1:8" ht="15.75">
      <c r="A28" s="2" t="s">
        <v>30</v>
      </c>
      <c r="B28" s="4" t="s">
        <v>58</v>
      </c>
      <c r="C28" s="4">
        <v>1</v>
      </c>
      <c r="D28" s="4">
        <v>80</v>
      </c>
      <c r="E28" s="4">
        <v>1600</v>
      </c>
      <c r="F28" s="4">
        <v>210</v>
      </c>
      <c r="G28" s="4">
        <v>1</v>
      </c>
    </row>
    <row r="29" spans="1:8" ht="15.75">
      <c r="A29" s="2" t="s">
        <v>31</v>
      </c>
      <c r="B29" s="4" t="s">
        <v>58</v>
      </c>
      <c r="C29" s="4">
        <v>10</v>
      </c>
      <c r="D29" s="4">
        <v>500</v>
      </c>
      <c r="E29" s="4">
        <v>26000</v>
      </c>
      <c r="F29" s="4">
        <v>104</v>
      </c>
      <c r="G29" s="4">
        <v>1.1000000000000001</v>
      </c>
    </row>
    <row r="30" spans="1:8" ht="15.75">
      <c r="A30" s="2" t="s">
        <v>32</v>
      </c>
      <c r="B30" s="4" t="s">
        <v>58</v>
      </c>
      <c r="C30" s="4">
        <v>10</v>
      </c>
      <c r="D30" s="4">
        <v>500</v>
      </c>
      <c r="E30" s="4">
        <v>25000</v>
      </c>
      <c r="F30" s="4">
        <v>340</v>
      </c>
      <c r="G30" s="4">
        <v>0.9</v>
      </c>
    </row>
    <row r="31" spans="1:8" ht="15.75">
      <c r="A31" s="2" t="s">
        <v>33</v>
      </c>
      <c r="B31" s="4" t="s">
        <v>58</v>
      </c>
      <c r="C31" s="4">
        <v>1</v>
      </c>
      <c r="D31" s="4">
        <v>500</v>
      </c>
      <c r="E31" s="4">
        <v>1350</v>
      </c>
      <c r="F31" s="4">
        <v>180</v>
      </c>
      <c r="G31" s="4">
        <v>0.95</v>
      </c>
      <c r="H31" s="4" t="s">
        <v>62</v>
      </c>
    </row>
    <row r="33" spans="1:8">
      <c r="A33" s="8" t="s">
        <v>90</v>
      </c>
    </row>
    <row r="34" spans="1:8">
      <c r="A34" s="2" t="s">
        <v>57</v>
      </c>
      <c r="B34" s="4" t="s">
        <v>60</v>
      </c>
      <c r="C34" s="4">
        <v>0.2</v>
      </c>
      <c r="D34" s="4">
        <v>60</v>
      </c>
      <c r="E34" s="4">
        <v>68500</v>
      </c>
      <c r="F34" s="4">
        <v>93000</v>
      </c>
      <c r="G34" s="4">
        <v>0.8</v>
      </c>
    </row>
    <row r="35" spans="1:8">
      <c r="A35" s="2" t="s">
        <v>34</v>
      </c>
      <c r="B35" s="4" t="s">
        <v>60</v>
      </c>
      <c r="C35" s="4">
        <v>30</v>
      </c>
      <c r="D35" s="4">
        <v>120</v>
      </c>
      <c r="E35" s="4">
        <v>37000</v>
      </c>
      <c r="F35" s="4">
        <v>95000</v>
      </c>
      <c r="G35" s="4">
        <v>0.8</v>
      </c>
    </row>
    <row r="37" spans="1:8">
      <c r="A37" s="8" t="s">
        <v>118</v>
      </c>
    </row>
    <row r="38" spans="1:8">
      <c r="A38" s="2" t="s">
        <v>46</v>
      </c>
      <c r="B38" s="4" t="s">
        <v>66</v>
      </c>
      <c r="C38" s="4">
        <v>0.2</v>
      </c>
      <c r="D38" s="4">
        <v>126</v>
      </c>
      <c r="E38" s="4">
        <v>6900</v>
      </c>
      <c r="F38" s="4">
        <v>206</v>
      </c>
      <c r="G38" s="4">
        <v>0.9</v>
      </c>
    </row>
    <row r="39" spans="1:8">
      <c r="A39" s="2" t="s">
        <v>47</v>
      </c>
      <c r="B39" s="4" t="s">
        <v>19</v>
      </c>
      <c r="C39" s="4">
        <v>1</v>
      </c>
      <c r="D39" s="4">
        <v>2500</v>
      </c>
      <c r="E39" s="4">
        <v>-950</v>
      </c>
      <c r="F39" s="4">
        <v>1770</v>
      </c>
      <c r="G39" s="4">
        <v>0.6</v>
      </c>
    </row>
    <row r="40" spans="1:8">
      <c r="A40" s="2" t="s">
        <v>48</v>
      </c>
      <c r="B40" s="4" t="s">
        <v>19</v>
      </c>
      <c r="C40" s="4">
        <v>100</v>
      </c>
      <c r="D40" s="4">
        <v>20000</v>
      </c>
      <c r="E40" s="4">
        <v>-12000</v>
      </c>
      <c r="F40" s="4">
        <v>1630</v>
      </c>
      <c r="G40" s="4">
        <v>0.75</v>
      </c>
    </row>
    <row r="42" spans="1:8">
      <c r="A42" s="8" t="s">
        <v>109</v>
      </c>
    </row>
    <row r="43" spans="1:8" ht="15.75">
      <c r="A43" s="2" t="s">
        <v>49</v>
      </c>
      <c r="B43" s="4" t="s">
        <v>67</v>
      </c>
      <c r="C43" s="4">
        <v>0.5</v>
      </c>
      <c r="D43" s="4">
        <v>100</v>
      </c>
      <c r="E43" s="4">
        <v>53000</v>
      </c>
      <c r="F43" s="4">
        <v>28000</v>
      </c>
      <c r="G43" s="4">
        <v>0.8</v>
      </c>
      <c r="H43" s="4" t="s">
        <v>68</v>
      </c>
    </row>
    <row r="44" spans="1:8" ht="15.75">
      <c r="A44" s="2" t="s">
        <v>50</v>
      </c>
      <c r="B44" s="4" t="s">
        <v>67</v>
      </c>
      <c r="C44" s="4">
        <v>0.5</v>
      </c>
      <c r="D44" s="4">
        <v>25</v>
      </c>
      <c r="E44" s="4">
        <v>11000</v>
      </c>
      <c r="F44" s="4">
        <v>76000</v>
      </c>
      <c r="G44" s="4">
        <v>0.4</v>
      </c>
    </row>
    <row r="46" spans="1:8">
      <c r="A46" s="8" t="s">
        <v>110</v>
      </c>
    </row>
    <row r="47" spans="1:8" ht="15.75">
      <c r="A47" s="2" t="s">
        <v>51</v>
      </c>
      <c r="B47" s="4" t="s">
        <v>59</v>
      </c>
      <c r="C47" s="4">
        <v>100</v>
      </c>
      <c r="D47" s="4">
        <v>10000</v>
      </c>
      <c r="E47" s="4">
        <v>97000</v>
      </c>
      <c r="F47" s="4">
        <v>2800</v>
      </c>
      <c r="G47" s="4">
        <v>0.65</v>
      </c>
    </row>
    <row r="48" spans="1:8" ht="15.75">
      <c r="A48" s="2" t="s">
        <v>52</v>
      </c>
      <c r="B48" s="4" t="s">
        <v>59</v>
      </c>
      <c r="C48" s="4">
        <v>10</v>
      </c>
      <c r="D48" s="4">
        <v>4000</v>
      </c>
      <c r="E48" s="4">
        <v>5000</v>
      </c>
      <c r="F48" s="4">
        <v>1400</v>
      </c>
      <c r="G48" s="4">
        <v>0.7</v>
      </c>
    </row>
    <row r="50" spans="1:8">
      <c r="A50" s="8" t="s">
        <v>73</v>
      </c>
    </row>
    <row r="51" spans="1:8">
      <c r="A51" s="3" t="s">
        <v>35</v>
      </c>
    </row>
    <row r="52" spans="1:8" ht="15.75">
      <c r="A52" s="2" t="s">
        <v>36</v>
      </c>
      <c r="B52" s="4" t="s">
        <v>61</v>
      </c>
      <c r="E52" s="4">
        <v>0</v>
      </c>
      <c r="F52" s="4">
        <v>7300</v>
      </c>
      <c r="G52" s="4">
        <v>1</v>
      </c>
    </row>
    <row r="53" spans="1:8" ht="15.75">
      <c r="A53" s="2" t="s">
        <v>37</v>
      </c>
      <c r="B53" s="4" t="s">
        <v>61</v>
      </c>
      <c r="E53" s="4">
        <v>0</v>
      </c>
      <c r="F53" s="4">
        <v>1800</v>
      </c>
      <c r="G53" s="4">
        <v>1</v>
      </c>
    </row>
    <row r="54" spans="1:8" ht="15.75">
      <c r="A54" s="2" t="s">
        <v>38</v>
      </c>
      <c r="B54" s="4" t="s">
        <v>61</v>
      </c>
      <c r="E54" s="4">
        <v>0</v>
      </c>
      <c r="F54" s="4">
        <v>7700</v>
      </c>
      <c r="G54" s="4">
        <v>1</v>
      </c>
    </row>
    <row r="55" spans="1:8" ht="15.75">
      <c r="A55" s="2" t="s">
        <v>39</v>
      </c>
      <c r="B55" s="4" t="s">
        <v>61</v>
      </c>
      <c r="E55" s="4">
        <v>0</v>
      </c>
      <c r="F55" s="4">
        <v>500</v>
      </c>
      <c r="G55" s="4">
        <v>1</v>
      </c>
    </row>
    <row r="56" spans="1:8" ht="15.75">
      <c r="A56" s="2" t="s">
        <v>40</v>
      </c>
      <c r="B56" s="4" t="s">
        <v>61</v>
      </c>
      <c r="E56" s="4">
        <v>0</v>
      </c>
      <c r="F56" s="4">
        <v>6900</v>
      </c>
      <c r="G56" s="4">
        <v>1</v>
      </c>
      <c r="H56" s="4" t="s">
        <v>63</v>
      </c>
    </row>
    <row r="58" spans="1:8">
      <c r="A58" s="3" t="s">
        <v>41</v>
      </c>
    </row>
    <row r="59" spans="1:8">
      <c r="A59" s="2" t="s">
        <v>42</v>
      </c>
      <c r="B59" s="4" t="s">
        <v>64</v>
      </c>
      <c r="C59" s="4">
        <v>160</v>
      </c>
      <c r="D59" s="4">
        <v>250000</v>
      </c>
      <c r="E59" s="4">
        <v>10000</v>
      </c>
      <c r="F59" s="4">
        <v>29</v>
      </c>
      <c r="G59" s="4">
        <v>0.85</v>
      </c>
      <c r="H59" s="4" t="s">
        <v>65</v>
      </c>
    </row>
    <row r="60" spans="1:8">
      <c r="A60" s="2" t="s">
        <v>43</v>
      </c>
      <c r="B60" s="4" t="s">
        <v>64</v>
      </c>
      <c r="C60" s="4">
        <v>160</v>
      </c>
      <c r="D60" s="4">
        <v>50000</v>
      </c>
      <c r="E60" s="4">
        <v>8800</v>
      </c>
      <c r="F60" s="4">
        <v>27</v>
      </c>
      <c r="G60" s="4">
        <v>0.85</v>
      </c>
    </row>
    <row r="61" spans="1:8">
      <c r="A61" s="2" t="s">
        <v>44</v>
      </c>
      <c r="B61" s="4" t="s">
        <v>64</v>
      </c>
      <c r="C61" s="4">
        <v>120</v>
      </c>
      <c r="D61" s="4">
        <v>250000</v>
      </c>
      <c r="E61" s="4">
        <v>15000</v>
      </c>
      <c r="F61" s="4">
        <v>68</v>
      </c>
      <c r="G61" s="4">
        <v>0.85</v>
      </c>
      <c r="H61" s="4" t="s">
        <v>65</v>
      </c>
    </row>
    <row r="62" spans="1:8">
      <c r="A62" s="2" t="s">
        <v>45</v>
      </c>
      <c r="B62" s="4" t="s">
        <v>64</v>
      </c>
      <c r="C62" s="4">
        <v>120</v>
      </c>
      <c r="D62" s="4">
        <v>50000</v>
      </c>
      <c r="E62" s="4">
        <v>11000</v>
      </c>
      <c r="F62" s="4">
        <v>63</v>
      </c>
      <c r="G62" s="4">
        <v>0.85</v>
      </c>
    </row>
    <row r="64" spans="1:8">
      <c r="A64" s="3" t="s">
        <v>53</v>
      </c>
    </row>
    <row r="65" spans="1:8">
      <c r="A65" s="2" t="s">
        <v>54</v>
      </c>
      <c r="B65" s="4" t="s">
        <v>18</v>
      </c>
      <c r="C65" s="4">
        <v>0.5</v>
      </c>
      <c r="D65" s="4">
        <v>5</v>
      </c>
      <c r="E65" s="4">
        <v>110</v>
      </c>
      <c r="F65" s="4">
        <v>380</v>
      </c>
      <c r="G65" s="4">
        <v>1.8</v>
      </c>
      <c r="H65" s="4" t="s">
        <v>69</v>
      </c>
    </row>
    <row r="66" spans="1:8">
      <c r="A66" s="2" t="s">
        <v>55</v>
      </c>
      <c r="B66" s="4" t="s">
        <v>18</v>
      </c>
      <c r="C66" s="4">
        <v>0.5</v>
      </c>
      <c r="D66" s="4">
        <v>5</v>
      </c>
      <c r="E66" s="4">
        <v>180</v>
      </c>
      <c r="F66" s="4">
        <v>340</v>
      </c>
      <c r="G66" s="4">
        <v>1.9</v>
      </c>
      <c r="H66" s="4" t="s">
        <v>69</v>
      </c>
    </row>
    <row r="67" spans="1:8">
      <c r="A67" s="2" t="s">
        <v>56</v>
      </c>
      <c r="B67" s="4" t="s">
        <v>18</v>
      </c>
      <c r="C67" s="4">
        <v>0.5</v>
      </c>
      <c r="D67" s="4">
        <v>5</v>
      </c>
      <c r="E67" s="4">
        <v>290</v>
      </c>
      <c r="F67" s="4">
        <v>550</v>
      </c>
      <c r="G67" s="4">
        <v>1.9</v>
      </c>
      <c r="H67" s="4" t="s">
        <v>69</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14</vt:i4>
      </vt:variant>
    </vt:vector>
  </HeadingPairs>
  <TitlesOfParts>
    <vt:vector size="17" baseType="lpstr">
      <vt:lpstr>Overview</vt:lpstr>
      <vt:lpstr>DFP</vt:lpstr>
      <vt:lpstr>Equipment Cost Data</vt:lpstr>
      <vt:lpstr>CEPCI</vt:lpstr>
      <vt:lpstr>TotalInstalledCost</vt:lpstr>
      <vt:lpstr>UserAddedAgitatorsMixers</vt:lpstr>
      <vt:lpstr>UserAddedBoilers</vt:lpstr>
      <vt:lpstr>UserAddedCompressors</vt:lpstr>
      <vt:lpstr>UserAddedDryers</vt:lpstr>
      <vt:lpstr>UserAddedEvaporators</vt:lpstr>
      <vt:lpstr>UserAddedExchangers</vt:lpstr>
      <vt:lpstr>UserAddedFurnaces</vt:lpstr>
      <vt:lpstr>UserAddedPumpsDrivers</vt:lpstr>
      <vt:lpstr>UserAddedTanks</vt:lpstr>
      <vt:lpstr>UserAddedTowers</vt:lpstr>
      <vt:lpstr>UserAddedUserAddedEquipment</vt:lpstr>
      <vt:lpstr>UserAddedUserAddedEquipments</vt:lpstr>
    </vt:vector>
  </TitlesOfParts>
  <Company>NUS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Yingying</dc:creator>
  <cp:lastModifiedBy>GP Rangaiah</cp:lastModifiedBy>
  <dcterms:created xsi:type="dcterms:W3CDTF">2009-08-30T03:46:34Z</dcterms:created>
  <dcterms:modified xsi:type="dcterms:W3CDTF">2011-02-28T06:32:39Z</dcterms:modified>
</cp:coreProperties>
</file>